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defaultThemeVersion="166925"/>
  <mc:AlternateContent xmlns:mc="http://schemas.openxmlformats.org/markup-compatibility/2006">
    <mc:Choice Requires="x15">
      <x15ac:absPath xmlns:x15ac="http://schemas.microsoft.com/office/spreadsheetml/2010/11/ac" url="https://d.docs.live.net/e78b8cb76f4425cc/Documents/"/>
    </mc:Choice>
  </mc:AlternateContent>
  <xr:revisionPtr revIDLastSave="3851" documentId="8_{BD88F204-89CE-4808-B2FD-D124779E0959}" xr6:coauthVersionLast="47" xr6:coauthVersionMax="47" xr10:uidLastSave="{68991D94-17AE-4C28-92CD-8EF106F8AC78}"/>
  <bookViews>
    <workbookView xWindow="-120" yWindow="-120" windowWidth="20730" windowHeight="11760" tabRatio="578" activeTab="1" autoFilterDateGrouping="0" xr2:uid="{E68D6626-864C-4A84-9EF9-7B22D1EA6F84}"/>
  </bookViews>
  <sheets>
    <sheet name="DashBoard" sheetId="13" r:id="rId1"/>
    <sheet name="DataSet" sheetId="1" r:id="rId2"/>
    <sheet name="1st Graph" sheetId="2" r:id="rId3"/>
    <sheet name="2nd Graph" sheetId="12" r:id="rId4"/>
    <sheet name="3rd Graph" sheetId="14" r:id="rId5"/>
    <sheet name="4th Graph" sheetId="15" r:id="rId6"/>
  </sheets>
  <definedNames>
    <definedName name="_xlnm._FilterDatabase" localSheetId="1" hidden="1">DataSet!$A$1:$I$39</definedName>
    <definedName name="Slicer_Aired">#N/A</definedName>
    <definedName name="Slicer_Status">#N/A</definedName>
    <definedName name="Slicer_Studio">#N/A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 l="1"/>
  <c r="J32" i="1"/>
  <c r="J28" i="1"/>
  <c r="J27" i="1"/>
  <c r="J16" i="1"/>
  <c r="J13" i="1"/>
  <c r="J7" i="1"/>
  <c r="J6" i="1"/>
  <c r="J5" i="1"/>
  <c r="J4" i="1"/>
  <c r="J2" i="1"/>
  <c r="M47" i="1"/>
  <c r="F47" i="1"/>
  <c r="M46" i="1"/>
  <c r="M45" i="1"/>
  <c r="M42" i="1"/>
  <c r="M41" i="1"/>
  <c r="M39" i="1"/>
  <c r="M38" i="1"/>
  <c r="M35" i="1"/>
  <c r="M34" i="1"/>
  <c r="M33" i="1"/>
  <c r="M32" i="1"/>
  <c r="M31" i="1"/>
  <c r="M28" i="1"/>
  <c r="M27" i="1"/>
  <c r="M26" i="1"/>
  <c r="M25" i="1"/>
  <c r="M22" i="1"/>
  <c r="M21" i="1"/>
  <c r="M20" i="1"/>
  <c r="M19" i="1"/>
  <c r="M18" i="1"/>
  <c r="M17" i="1"/>
  <c r="M16" i="1"/>
  <c r="M14" i="1"/>
  <c r="M13" i="1"/>
  <c r="M12" i="1"/>
  <c r="M11" i="1"/>
  <c r="M10" i="1"/>
  <c r="M8" i="1"/>
  <c r="M6" i="1"/>
  <c r="M5" i="1"/>
  <c r="M4" i="1"/>
  <c r="M3" i="1"/>
  <c r="M2" i="1"/>
</calcChain>
</file>

<file path=xl/sharedStrings.xml><?xml version="1.0" encoding="utf-8"?>
<sst xmlns="http://schemas.openxmlformats.org/spreadsheetml/2006/main" count="570" uniqueCount="243">
  <si>
    <t>Titles</t>
  </si>
  <si>
    <t>Gintama</t>
  </si>
  <si>
    <t xml:space="preserve">Total Seasons </t>
  </si>
  <si>
    <t xml:space="preserve">Total Episodes </t>
  </si>
  <si>
    <t>Genre</t>
  </si>
  <si>
    <t xml:space="preserve">Studio </t>
  </si>
  <si>
    <t>Score</t>
  </si>
  <si>
    <t>Adventure Martial arts Romance</t>
  </si>
  <si>
    <t>Adventure Epic fantasy Romance</t>
  </si>
  <si>
    <t>Drama, Slice of Life</t>
  </si>
  <si>
    <t>Fullmetal Alchemist</t>
  </si>
  <si>
    <t>Psychological thriller Science fiction</t>
  </si>
  <si>
    <t>Steins Gate</t>
  </si>
  <si>
    <t>Adventure Dark fantasy Steampunk</t>
  </si>
  <si>
    <t>Bleach</t>
  </si>
  <si>
    <t xml:space="preserve">Adventure Martial arts Supernautral </t>
  </si>
  <si>
    <t xml:space="preserve">Action Fiction </t>
  </si>
  <si>
    <t>Adventure Fantasy Martial art</t>
  </si>
  <si>
    <t>Psychological Romantic comedy Slice of life</t>
  </si>
  <si>
    <t xml:space="preserve">Shojo manga </t>
  </si>
  <si>
    <t xml:space="preserve">Fantasy drama </t>
  </si>
  <si>
    <t>Science fiction human drama pseudo-historical comedy</t>
  </si>
  <si>
    <t xml:space="preserve">Action Fiction Fantasy Thriller Action alternate history </t>
  </si>
  <si>
    <t>Action, Award Winning, Comedy</t>
  </si>
  <si>
    <t xml:space="preserve">Drama Mystery Suspense </t>
  </si>
  <si>
    <t xml:space="preserve">Action fantasy </t>
  </si>
  <si>
    <t>Romantic comedy</t>
  </si>
  <si>
    <t xml:space="preserve">Shojo Manga Romantic coedy Romance fantasy </t>
  </si>
  <si>
    <t xml:space="preserve">Adventure Fiction Historical Fiction </t>
  </si>
  <si>
    <t xml:space="preserve">Magic Dark Fantasy </t>
  </si>
  <si>
    <t>Assassination Classroom</t>
  </si>
  <si>
    <t>Action Science fiction comedy</t>
  </si>
  <si>
    <t xml:space="preserve">Brain's Base </t>
  </si>
  <si>
    <t>Black Butler</t>
  </si>
  <si>
    <t xml:space="preserve">Horror, Comedy, Fantasy, Mystery, Thriller, Historical Fiction </t>
  </si>
  <si>
    <t>84 million</t>
  </si>
  <si>
    <t>34 million</t>
  </si>
  <si>
    <t>8 million</t>
  </si>
  <si>
    <t>A-1 Pictures</t>
  </si>
  <si>
    <t>80 million</t>
  </si>
  <si>
    <t>Bones</t>
  </si>
  <si>
    <t>One Piece</t>
  </si>
  <si>
    <t>Toei Animation</t>
  </si>
  <si>
    <t>Adventure Fantasy</t>
  </si>
  <si>
    <t>516.6 million</t>
  </si>
  <si>
    <t>Comedy, science fiction</t>
  </si>
  <si>
    <t>Shin Ei</t>
  </si>
  <si>
    <t>250 million</t>
  </si>
  <si>
    <t xml:space="preserve">110 million </t>
  </si>
  <si>
    <t>Wit Studio</t>
  </si>
  <si>
    <t>Madhouse</t>
  </si>
  <si>
    <t>Kono oto tomare</t>
  </si>
  <si>
    <t xml:space="preserve">Shonen Manga </t>
  </si>
  <si>
    <t>Platinum Vision</t>
  </si>
  <si>
    <t xml:space="preserve">5.5 million </t>
  </si>
  <si>
    <t>55 million</t>
  </si>
  <si>
    <t>Production I.G</t>
  </si>
  <si>
    <t>Sailor Moon</t>
  </si>
  <si>
    <t>46 million</t>
  </si>
  <si>
    <t xml:space="preserve">Magical Girls </t>
  </si>
  <si>
    <t>Mystery Paranormal Psychological</t>
  </si>
  <si>
    <t xml:space="preserve">Shaft </t>
  </si>
  <si>
    <t>4.5 million</t>
  </si>
  <si>
    <t>Death Note</t>
  </si>
  <si>
    <t>Drama   Psychological   Supernatural   Thriller  </t>
  </si>
  <si>
    <t xml:space="preserve">Madhouse </t>
  </si>
  <si>
    <t xml:space="preserve">30+ million </t>
  </si>
  <si>
    <t>studio Sunrise</t>
  </si>
  <si>
    <t xml:space="preserve">1+ million </t>
  </si>
  <si>
    <t>Action</t>
  </si>
  <si>
    <t>Pierrot</t>
  </si>
  <si>
    <t>99 million</t>
  </si>
  <si>
    <t xml:space="preserve">Adventure Fiction, Superhero Fiction, Science Fantasy </t>
  </si>
  <si>
    <t xml:space="preserve">85 million </t>
  </si>
  <si>
    <t xml:space="preserve">Seinen Manga, Fantasy </t>
  </si>
  <si>
    <t>Liden Films</t>
  </si>
  <si>
    <t>Mob Psycho</t>
  </si>
  <si>
    <t xml:space="preserve">Shonen Manga, Comedy </t>
  </si>
  <si>
    <t>1.2 million</t>
  </si>
  <si>
    <t>Historical, Drama</t>
  </si>
  <si>
    <t xml:space="preserve">Deen </t>
  </si>
  <si>
    <t xml:space="preserve">72 million </t>
  </si>
  <si>
    <t>White Fox</t>
  </si>
  <si>
    <t>1.60 million</t>
  </si>
  <si>
    <t>130 million</t>
  </si>
  <si>
    <t>Bandai Namco Pictures</t>
  </si>
  <si>
    <t>55+ million</t>
  </si>
  <si>
    <t>22 million</t>
  </si>
  <si>
    <t>1.50+ million</t>
  </si>
  <si>
    <t>TMS/8PAN</t>
  </si>
  <si>
    <t>30 million</t>
  </si>
  <si>
    <t>10 million</t>
  </si>
  <si>
    <t>18.9 million</t>
  </si>
  <si>
    <t>Kyoto Animation</t>
  </si>
  <si>
    <t xml:space="preserve">Sunrise </t>
  </si>
  <si>
    <t>17.44 million</t>
  </si>
  <si>
    <t>27 million</t>
  </si>
  <si>
    <t>Wit Studio and CloverWorks</t>
  </si>
  <si>
    <t xml:space="preserve">Mad house </t>
  </si>
  <si>
    <t xml:space="preserve">20 million </t>
  </si>
  <si>
    <t>Ufotable</t>
  </si>
  <si>
    <t>150 million</t>
  </si>
  <si>
    <t>TMS Entertainment V1 Studio</t>
  </si>
  <si>
    <t>MAPPA</t>
  </si>
  <si>
    <t>Drama Romance Novel</t>
  </si>
  <si>
    <t xml:space="preserve">Members </t>
  </si>
  <si>
    <t>Tokuo Movie Shinsha</t>
  </si>
  <si>
    <t xml:space="preserve">Action Fantasy Sci Fi  </t>
  </si>
  <si>
    <t>David Production</t>
  </si>
  <si>
    <t>7.5 million</t>
  </si>
  <si>
    <t>Maid Sama</t>
  </si>
  <si>
    <t>The Millionaire Detective</t>
  </si>
  <si>
    <t>Tokyo Revengers</t>
  </si>
  <si>
    <t>Made in Abyss</t>
  </si>
  <si>
    <t>One puch man</t>
  </si>
  <si>
    <t>Naruto</t>
  </si>
  <si>
    <t>Buddy Daddies</t>
  </si>
  <si>
    <t xml:space="preserve">NULL </t>
  </si>
  <si>
    <t>CloverWorks</t>
  </si>
  <si>
    <t>7 million</t>
  </si>
  <si>
    <t xml:space="preserve">Comedy Romance </t>
  </si>
  <si>
    <t>J.C.Staff</t>
  </si>
  <si>
    <t xml:space="preserve">Action Drama Supernatural </t>
  </si>
  <si>
    <t xml:space="preserve">Action Fantasy Mystery </t>
  </si>
  <si>
    <t xml:space="preserve">Mystery </t>
  </si>
  <si>
    <t>LIDENFILMS</t>
  </si>
  <si>
    <t>70 million</t>
  </si>
  <si>
    <t>Food war</t>
  </si>
  <si>
    <t>Action Science fiction thriller Yankī</t>
  </si>
  <si>
    <t>cooking, comedy, slice-of-life and ecchi</t>
  </si>
  <si>
    <t>3 + million</t>
  </si>
  <si>
    <t>Dark Fantasy, Adventure Fiction, Science Fiction</t>
  </si>
  <si>
    <t>Kinema Citrus</t>
  </si>
  <si>
    <t>Action Comedy SuperHero</t>
  </si>
  <si>
    <t>30 + million</t>
  </si>
  <si>
    <t>Adventure Fantasy comedy Martial arts</t>
  </si>
  <si>
    <t>Studio Pierrot</t>
  </si>
  <si>
    <t>Sports Thriller</t>
  </si>
  <si>
    <t>8bit</t>
  </si>
  <si>
    <t>Action, Comedy</t>
  </si>
  <si>
    <t>P.A Works</t>
  </si>
  <si>
    <t>Animated Movies</t>
  </si>
  <si>
    <t>No Info</t>
  </si>
  <si>
    <t>Ranks</t>
  </si>
  <si>
    <t>50 million</t>
  </si>
  <si>
    <t xml:space="preserve">Movie Score </t>
  </si>
  <si>
    <t>Approximate copies Sold</t>
  </si>
  <si>
    <t>Row Labels</t>
  </si>
  <si>
    <t>Grand Total</t>
  </si>
  <si>
    <t>Column Labels</t>
  </si>
  <si>
    <t>(All)</t>
  </si>
  <si>
    <t>Total Sum of Score</t>
  </si>
  <si>
    <t>Sum of Score</t>
  </si>
  <si>
    <t xml:space="preserve">Total Sum of Members </t>
  </si>
  <si>
    <t xml:space="preserve">Sum of Members </t>
  </si>
  <si>
    <t>Aired</t>
  </si>
  <si>
    <t>Status</t>
  </si>
  <si>
    <t>Finished</t>
  </si>
  <si>
    <t xml:space="preserve">Ongoing </t>
  </si>
  <si>
    <t xml:space="preserve">No Updates </t>
  </si>
  <si>
    <t xml:space="preserve">Drama, Adventure, Action Fiction, Space Opera, Thriller </t>
  </si>
  <si>
    <t>Sum of Ranks</t>
  </si>
  <si>
    <t>11.6 million</t>
  </si>
  <si>
    <t>10 + million</t>
  </si>
  <si>
    <t>Akatsuki No Yona</t>
  </si>
  <si>
    <t>Wotakoi</t>
  </si>
  <si>
    <t>Kamisama Kiss</t>
  </si>
  <si>
    <t>Shingeki no Kyojin</t>
  </si>
  <si>
    <t>Hunter X Hunter</t>
  </si>
  <si>
    <t>Blue Lock</t>
  </si>
  <si>
    <t>Code Geass</t>
  </si>
  <si>
    <t>Clannad</t>
  </si>
  <si>
    <t>Gatsu no Lion</t>
  </si>
  <si>
    <t>Fruits Basket</t>
  </si>
  <si>
    <t>Kaguya-sama</t>
  </si>
  <si>
    <t>Spy X Family</t>
  </si>
  <si>
    <t>Monster</t>
  </si>
  <si>
    <t>Haikyuu</t>
  </si>
  <si>
    <t>Monogatari</t>
  </si>
  <si>
    <t>Cowboy Bebop</t>
  </si>
  <si>
    <t>Kingdom</t>
  </si>
  <si>
    <t>My Hero Academia</t>
  </si>
  <si>
    <t>Berserk</t>
  </si>
  <si>
    <t xml:space="preserve">Shouwa Genroku Rakugo Shinjuu    </t>
  </si>
  <si>
    <t>Seraph Of the End</t>
  </si>
  <si>
    <t>The Case of Vanitas</t>
  </si>
  <si>
    <t>Horimiya</t>
  </si>
  <si>
    <t>Fire Force</t>
  </si>
  <si>
    <t>Glass Mask</t>
  </si>
  <si>
    <t>Rurouni Kenshin</t>
  </si>
  <si>
    <t>Doraemon</t>
  </si>
  <si>
    <t>Jujutsu Kaisen</t>
  </si>
  <si>
    <t>Vinland Saga</t>
  </si>
  <si>
    <t xml:space="preserve">Demon Slayer </t>
  </si>
  <si>
    <t>2003-10</t>
  </si>
  <si>
    <t>2011-18</t>
  </si>
  <si>
    <t>2004-23</t>
  </si>
  <si>
    <t>2013-23</t>
  </si>
  <si>
    <t>2006-18</t>
  </si>
  <si>
    <t>2011-23</t>
  </si>
  <si>
    <t>2019-23</t>
  </si>
  <si>
    <t>2014-15</t>
  </si>
  <si>
    <t>2019-21</t>
  </si>
  <si>
    <t>2016-18</t>
  </si>
  <si>
    <t>2023-23</t>
  </si>
  <si>
    <t>2022-23</t>
  </si>
  <si>
    <t>2002-17</t>
  </si>
  <si>
    <t>2015-23</t>
  </si>
  <si>
    <t>2017-23</t>
  </si>
  <si>
    <t>2015-20</t>
  </si>
  <si>
    <t>2021-23</t>
  </si>
  <si>
    <t>2020-20</t>
  </si>
  <si>
    <t>2021-22</t>
  </si>
  <si>
    <t>2015-15</t>
  </si>
  <si>
    <t>2010-10</t>
  </si>
  <si>
    <t xml:space="preserve">2019-23 </t>
  </si>
  <si>
    <t>2005-06</t>
  </si>
  <si>
    <t>1996-23</t>
  </si>
  <si>
    <t>2007-09</t>
  </si>
  <si>
    <t>2006-08</t>
  </si>
  <si>
    <t>2004-05</t>
  </si>
  <si>
    <t>2018-23</t>
  </si>
  <si>
    <t>2012-15</t>
  </si>
  <si>
    <t>2020-23</t>
  </si>
  <si>
    <t>2015-16</t>
  </si>
  <si>
    <t>2008-23</t>
  </si>
  <si>
    <t>1999-2023</t>
  </si>
  <si>
    <t>1979-2005</t>
  </si>
  <si>
    <t>2019-19</t>
  </si>
  <si>
    <t>2014-23</t>
  </si>
  <si>
    <t>1994-97</t>
  </si>
  <si>
    <t>2009-19</t>
  </si>
  <si>
    <t>2006-07</t>
  </si>
  <si>
    <t>1998-99</t>
  </si>
  <si>
    <t>2012-23</t>
  </si>
  <si>
    <t>2016-23</t>
  </si>
  <si>
    <t>1997-98</t>
  </si>
  <si>
    <t>2016-17</t>
  </si>
  <si>
    <t>2016-22</t>
  </si>
  <si>
    <t>Sum of Animated Movies</t>
  </si>
  <si>
    <t>Count of Approximate copies Sold</t>
  </si>
  <si>
    <t xml:space="preserve">Count of Movie Score </t>
  </si>
  <si>
    <t>Anime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</si>
</sst>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_);_(* \(#,##0.0\);_(* &quot;-&quot;??_);_(@_)"/>
    <numFmt numFmtId="165" formatCode="_(* #,##0_);_(* \(#,##0\);_(* &quot;-&quot;??_);_(@_)"/>
    <numFmt numFmtId="166" formatCode="[$-F800]dddd\,\ mmmm\ dd\,\ yyyy"/>
  </numFmts>
  <fonts count="8" x14ac:knownFonts="1">
    <font>
      <sz val="11"/>
      <color theme="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color theme="1"/>
      <name val="Calibri"/>
      <family val="2"/>
      <scheme val="minor"/>
    </font>
    <font>
      <sz val="8"/>
      <name val="Calibri"/>
      <family val="2"/>
      <scheme val="minor"/>
    </font>
    <font>
      <b/>
      <sz val="36"/>
      <color rgb="FF256B75"/>
      <name val="Bell MT"/>
      <family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28">
    <xf numFmtId="0" fontId="0" fillId="0" borderId="0" xfId="0"/>
    <xf numFmtId="1" fontId="0" fillId="0" borderId="0" xfId="0" applyNumberFormat="1"/>
    <xf numFmtId="0" fontId="1" fillId="0" borderId="0" xfId="0" applyFont="1" applyAlignment="1">
      <alignment horizontal="left" vertical="center"/>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1" applyNumberFormat="1" applyFont="1"/>
    <xf numFmtId="0" fontId="0" fillId="0" borderId="0" xfId="0" applyAlignment="1">
      <alignment horizontal="left"/>
    </xf>
    <xf numFmtId="1" fontId="0" fillId="0" borderId="0" xfId="0" applyNumberFormat="1" applyAlignment="1">
      <alignment horizontal="left"/>
    </xf>
    <xf numFmtId="2" fontId="0" fillId="0" borderId="0" xfId="0" applyNumberFormat="1" applyAlignment="1">
      <alignment horizontal="left"/>
    </xf>
    <xf numFmtId="15" fontId="0" fillId="0" borderId="0" xfId="0" applyNumberFormat="1" applyAlignment="1">
      <alignment horizontal="left"/>
    </xf>
    <xf numFmtId="0" fontId="1" fillId="0" borderId="0" xfId="0" applyFont="1" applyAlignment="1">
      <alignment horizontal="left"/>
    </xf>
    <xf numFmtId="17" fontId="0" fillId="0" borderId="0" xfId="0" applyNumberFormat="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164" fontId="0" fillId="0" borderId="0" xfId="1" applyNumberFormat="1" applyFont="1" applyAlignment="1">
      <alignment horizontal="left"/>
    </xf>
    <xf numFmtId="0" fontId="0" fillId="0" borderId="0" xfId="0" pivotButton="1"/>
    <xf numFmtId="165" fontId="0" fillId="0" borderId="0" xfId="1" applyNumberFormat="1" applyFont="1" applyAlignment="1">
      <alignment horizontal="center" vertical="center"/>
    </xf>
    <xf numFmtId="165" fontId="0" fillId="0" borderId="0" xfId="1" applyNumberFormat="1" applyFont="1" applyAlignment="1">
      <alignment horizontal="left"/>
    </xf>
    <xf numFmtId="165" fontId="1" fillId="0" borderId="0" xfId="1" applyNumberFormat="1" applyFont="1" applyAlignment="1">
      <alignment horizontal="left"/>
    </xf>
    <xf numFmtId="2" fontId="0" fillId="0" borderId="0" xfId="0" applyNumberFormat="1"/>
    <xf numFmtId="165" fontId="0" fillId="0" borderId="0" xfId="1" applyNumberFormat="1" applyFont="1"/>
    <xf numFmtId="2" fontId="0" fillId="0" borderId="0" xfId="0" applyNumberFormat="1" applyAlignment="1">
      <alignment horizontal="center" vertical="center"/>
    </xf>
    <xf numFmtId="166" fontId="0" fillId="0" borderId="0" xfId="0" applyNumberFormat="1" applyAlignment="1">
      <alignment horizontal="left"/>
    </xf>
    <xf numFmtId="14" fontId="0" fillId="0" borderId="0" xfId="0" applyNumberFormat="1" applyAlignment="1">
      <alignment horizontal="center" vertical="center"/>
    </xf>
    <xf numFmtId="14" fontId="0" fillId="0" borderId="0" xfId="0" applyNumberFormat="1"/>
    <xf numFmtId="0" fontId="7" fillId="2"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23">
    <dxf>
      <font>
        <b val="0"/>
        <i val="0"/>
        <strike val="0"/>
        <condense val="0"/>
        <extend val="0"/>
        <outline val="0"/>
        <shadow val="0"/>
        <u val="none"/>
        <vertAlign val="baseline"/>
        <sz val="11"/>
        <color theme="1"/>
        <name val="Calibri"/>
        <family val="2"/>
        <scheme val="minor"/>
      </font>
      <numFmt numFmtId="165" formatCode="_(* #,##0_);_(* \(#,##0\);_(* &quot;-&quot;??_);_(@_)"/>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20" formatCode="d\-mmm\-yy"/>
      <alignment horizontal="left" vertical="bottom" textRotation="0" wrapText="0" indent="0" justifyLastLine="0" shrinkToFit="0" readingOrder="0"/>
    </dxf>
    <dxf>
      <numFmt numFmtId="166" formatCode="[$-F800]dddd\,\ mmmm\ dd\,\ 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font>
        <b/>
        <i val="0"/>
        <sz val="11"/>
        <color theme="0"/>
        <name val="Calibri"/>
        <family val="2"/>
        <scheme val="minor"/>
      </font>
      <fill>
        <patternFill>
          <bgColor rgb="FF256B75"/>
        </patternFill>
      </fill>
    </dxf>
    <dxf>
      <font>
        <b/>
        <i val="0"/>
        <sz val="12"/>
        <name val="Calibri Light"/>
        <family val="2"/>
        <scheme val="major"/>
      </font>
      <fill>
        <patternFill patternType="solid">
          <fgColor theme="0"/>
          <bgColor rgb="FF64C1CB"/>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256B75"/>
        </patternFill>
      </fill>
    </dxf>
    <dxf>
      <font>
        <b/>
        <i val="0"/>
        <sz val="12"/>
        <name val="Calibri Light"/>
        <family val="2"/>
        <scheme val="major"/>
      </font>
      <fill>
        <patternFill patternType="solid">
          <fgColor theme="0"/>
          <bgColor rgb="FF64C1CB"/>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256B75"/>
        </patternFill>
      </fill>
    </dxf>
    <dxf>
      <font>
        <b/>
        <i val="0"/>
        <sz val="12"/>
        <name val="Calibri Light"/>
        <family val="2"/>
        <scheme val="major"/>
      </font>
      <fill>
        <patternFill patternType="solid">
          <fgColor theme="0"/>
          <bgColor rgb="FF64C1CB"/>
        </patternFill>
      </fill>
      <border>
        <left style="thin">
          <color theme="1" tint="-0.499984740745262"/>
        </left>
        <right style="thin">
          <color theme="1" tint="-0.499984740745262"/>
        </right>
        <top style="thin">
          <color theme="1" tint="-0.499984740745262"/>
        </top>
        <bottom style="thin">
          <color theme="1" tint="-0.499984740745262"/>
        </bottom>
      </border>
    </dxf>
    <dxf>
      <font>
        <sz val="12"/>
        <color theme="9" tint="0.59996337778862885"/>
        <name val="Calibri"/>
        <family val="2"/>
        <scheme val="minor"/>
      </font>
      <fill>
        <patternFill>
          <bgColor rgb="FF256B75"/>
        </patternFill>
      </fill>
    </dxf>
    <dxf>
      <fill>
        <patternFill>
          <bgColor rgb="FF64C1CE"/>
        </patternFill>
      </fill>
    </dxf>
  </dxfs>
  <tableStyles count="4" defaultTableStyle="TableStyleMedium2" defaultPivotStyle="PivotStyleLight16">
    <tableStyle name="Slicer Style 1" pivot="0" table="0" count="5" xr9:uid="{ADD71F1D-9001-4A9F-9570-363E18FCD37D}">
      <tableStyleElement type="wholeTable" dxfId="22"/>
      <tableStyleElement type="headerRow" dxfId="21"/>
    </tableStyle>
    <tableStyle name="Timeline Style 1" pivot="0" table="0" count="9" xr9:uid="{28AD6F56-E876-4C1D-A82E-4A94C2D91008}">
      <tableStyleElement type="wholeTable" dxfId="20"/>
      <tableStyleElement type="headerRow" dxfId="19"/>
    </tableStyle>
    <tableStyle name="Timeline Style 1 2" pivot="0" table="0" count="9" xr9:uid="{2CBFA03B-16C0-45D4-BD27-3546BC22022E}">
      <tableStyleElement type="wholeTable" dxfId="18"/>
      <tableStyleElement type="headerRow" dxfId="17"/>
    </tableStyle>
    <tableStyle name="Timeline Style 1 3" pivot="0" table="0" count="9" xr9:uid="{C0D9B40F-6437-46AC-BCDF-E79D4105DE1F}">
      <tableStyleElement type="wholeTable" dxfId="16"/>
      <tableStyleElement type="headerRow" dxfId="15"/>
    </tableStyle>
  </tableStyles>
  <colors>
    <mruColors>
      <color rgb="FF1A4B52"/>
      <color rgb="FF144C21"/>
      <color rgb="FF256B75"/>
      <color rgb="FFDCF1F4"/>
      <color rgb="FFB9D9A3"/>
      <color rgb="FF01A310"/>
      <color rgb="FF69E575"/>
      <color rgb="FF7AB47B"/>
      <color rgb="FFA5DCE3"/>
      <color rgb="FF64C1CE"/>
    </mruColors>
  </colors>
  <extLst>
    <ext xmlns:x14="http://schemas.microsoft.com/office/spreadsheetml/2009/9/main" uri="{46F421CA-312F-682f-3DD2-61675219B42D}">
      <x14:dxfs count="3">
        <dxf>
          <font>
            <color theme="0"/>
            <name val="Calibri"/>
            <family val="2"/>
            <scheme val="minor"/>
          </font>
          <fill>
            <patternFill>
              <bgColor rgb="FF9CC4C0"/>
            </patternFill>
          </fill>
        </dxf>
        <dxf>
          <font>
            <strike/>
            <color theme="0"/>
            <name val="Calibri"/>
            <family val="2"/>
            <scheme val="minor"/>
          </font>
          <fill>
            <patternFill>
              <bgColor rgb="FF459BB9"/>
            </patternFill>
          </fill>
        </dxf>
        <dxf>
          <font>
            <color theme="0"/>
            <name val="Calibri"/>
            <family val="2"/>
            <scheme val="minor"/>
          </font>
          <fill>
            <patternFill>
              <bgColor rgb="FFBEBEBE"/>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21">
        <dxf>
          <fill>
            <patternFill>
              <bgColor theme="8" tint="0.79998168889431442"/>
            </patternFill>
          </fill>
        </dxf>
        <dxf>
          <fill>
            <patternFill patternType="solid">
              <fgColor theme="0" tint="-0.14993743705557422"/>
              <bgColor rgb="FF459BA5"/>
            </patternFill>
          </fill>
        </dxf>
        <dxf>
          <fill>
            <patternFill patternType="solid">
              <fgColor theme="0"/>
              <bgColor rgb="FF256B75"/>
            </patternFill>
          </fill>
          <border diagonalUp="0" diagonalDown="0">
            <left style="thin">
              <color auto="1"/>
            </left>
            <right style="thin">
              <color auto="1"/>
            </right>
            <top style="thin">
              <color auto="1"/>
            </top>
            <bottom style="thin">
              <color auto="1"/>
            </bottom>
            <vertical/>
            <horizontal/>
          </border>
        </dxf>
        <dxf>
          <font>
            <b val="0"/>
            <i val="0"/>
            <sz val="10"/>
            <color theme="0"/>
            <name val="Calibri"/>
            <family val="2"/>
            <scheme val="minor"/>
          </font>
        </dxf>
        <dxf>
          <font>
            <b val="0"/>
            <i val="0"/>
            <sz val="10"/>
            <color theme="0"/>
            <name val="Calibri"/>
            <family val="2"/>
            <scheme val="minor"/>
          </font>
        </dxf>
        <dxf>
          <font>
            <b val="0"/>
            <i val="0"/>
            <sz val="10"/>
            <color theme="0"/>
            <name val="Calibri"/>
            <family val="2"/>
            <scheme val="minor"/>
          </font>
        </dxf>
        <dxf>
          <font>
            <b val="0"/>
            <i val="0"/>
            <sz val="11"/>
            <color theme="0"/>
            <name val="Calibri"/>
            <family val="2"/>
            <scheme val="minor"/>
          </font>
        </dxf>
        <dxf>
          <fill>
            <patternFill>
              <bgColor theme="8" tint="0.79998168889431442"/>
            </patternFill>
          </fill>
        </dxf>
        <dxf>
          <fill>
            <patternFill patternType="solid">
              <fgColor theme="0" tint="-0.14990691854609822"/>
              <bgColor theme="8" tint="0.59996337778862885"/>
            </patternFill>
          </fill>
        </dxf>
        <dxf>
          <fill>
            <patternFill patternType="solid">
              <fgColor theme="0"/>
              <bgColor rgb="FF459BA5"/>
            </patternFill>
          </fill>
          <border diagonalUp="0" diagonalDown="0">
            <left style="thin">
              <color auto="1"/>
            </left>
            <right style="thin">
              <color auto="1"/>
            </right>
            <top style="thin">
              <color auto="1"/>
            </top>
            <bottom style="thin">
              <color auto="1"/>
            </bottom>
            <vertical/>
            <horizontal/>
          </border>
        </dxf>
        <dxf>
          <font>
            <sz val="10"/>
            <color theme="0"/>
            <name val="Calibri"/>
            <family val="2"/>
            <scheme val="minor"/>
          </font>
        </dxf>
        <dxf>
          <font>
            <sz val="10"/>
            <color theme="0"/>
            <name val="Calibri"/>
            <family val="2"/>
            <scheme val="minor"/>
          </font>
        </dxf>
        <dxf>
          <font>
            <sz val="10"/>
            <color theme="0"/>
            <name val="Calibri"/>
            <family val="2"/>
            <scheme val="minor"/>
          </font>
        </dxf>
        <dxf>
          <font>
            <sz val="11"/>
            <color rgb="FF256B75"/>
            <name val="Calibri"/>
            <family val="2"/>
            <scheme val="minor"/>
          </font>
        </dxf>
        <dxf>
          <fill>
            <patternFill>
              <bgColor theme="8" tint="0.79998168889431442"/>
            </patternFill>
          </fill>
        </dxf>
        <dxf>
          <fill>
            <patternFill patternType="solid">
              <fgColor theme="0" tint="-0.14993743705557422"/>
              <bgColor rgb="FF459BA5"/>
            </patternFill>
          </fill>
        </dxf>
        <dxf>
          <fill>
            <patternFill patternType="solid">
              <fgColor theme="0"/>
              <bgColor rgb="FF256B75"/>
            </patternFill>
          </fill>
          <border diagonalUp="0" diagonalDown="0">
            <left style="thin">
              <color auto="1"/>
            </left>
            <right style="thin">
              <color auto="1"/>
            </right>
            <top style="thin">
              <color auto="1"/>
            </top>
            <bottom style="thin">
              <color auto="1"/>
            </bottom>
            <vertical/>
            <horizontal/>
          </border>
        </dxf>
        <dxf>
          <font>
            <b/>
            <i val="0"/>
            <sz val="10"/>
            <color rgb="FF256B75"/>
            <name val="Calibri"/>
            <family val="2"/>
            <scheme val="minor"/>
          </font>
        </dxf>
        <dxf>
          <font>
            <b/>
            <i val="0"/>
            <sz val="10"/>
            <color rgb="FF256B75"/>
            <name val="Calibri"/>
            <family val="2"/>
            <scheme val="minor"/>
          </font>
        </dxf>
        <dxf>
          <font>
            <b/>
            <i val="0"/>
            <sz val="10"/>
            <color rgb="FF256B75"/>
            <name val="Calibri"/>
            <family val="2"/>
            <scheme val="minor"/>
          </font>
        </dxf>
        <dxf>
          <font>
            <b/>
            <i val="0"/>
            <sz val="11"/>
            <color rgb="FF256B75"/>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line Style 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1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Top Japanease Anime series .xlsx]1st Graph!PivotTable1</c:name>
    <c:fmtId val="8"/>
  </c:pivotSource>
  <c:chart>
    <c:title>
      <c:tx>
        <c:rich>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r>
              <a:rPr lang="en-US" b="1">
                <a:solidFill>
                  <a:srgbClr val="1A4B52"/>
                </a:solidFill>
                <a:latin typeface="+mn-lt"/>
              </a:rPr>
              <a:t>Top</a:t>
            </a:r>
            <a:r>
              <a:rPr lang="en-US" b="1" baseline="0">
                <a:solidFill>
                  <a:srgbClr val="1A4B52"/>
                </a:solidFill>
                <a:latin typeface="+mn-lt"/>
              </a:rPr>
              <a:t> Anime from Each studio </a:t>
            </a:r>
            <a:endParaRPr lang="en-US" b="1">
              <a:solidFill>
                <a:srgbClr val="1A4B52"/>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'1st Graph'!$B$4:$B$6</c:f>
              <c:strCache>
                <c:ptCount val="1"/>
                <c:pt idx="0">
                  <c:v>Sum of Score - 8bit</c:v>
                </c:pt>
              </c:strCache>
            </c:strRef>
          </c:tx>
          <c:spPr>
            <a:solidFill>
              <a:schemeClr val="accent1">
                <a:tint val="3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Graph'!$B$7:$B$56</c:f>
              <c:numCache>
                <c:formatCode>General</c:formatCode>
                <c:ptCount val="49"/>
                <c:pt idx="45">
                  <c:v>8.32</c:v>
                </c:pt>
              </c:numCache>
            </c:numRef>
          </c:val>
          <c:extLst>
            <c:ext xmlns:c16="http://schemas.microsoft.com/office/drawing/2014/chart" uri="{C3380CC4-5D6E-409C-BE32-E72D297353CC}">
              <c16:uniqueId val="{00000000-FACC-4170-A854-9F607DA50E2E}"/>
            </c:ext>
          </c:extLst>
        </c:ser>
        <c:ser>
          <c:idx val="1"/>
          <c:order val="1"/>
          <c:tx>
            <c:strRef>
              <c:f>'1st Graph'!$C$4:$C$6</c:f>
              <c:strCache>
                <c:ptCount val="1"/>
                <c:pt idx="0">
                  <c:v>Sum of Score - A-1 Pictures</c:v>
                </c:pt>
              </c:strCache>
            </c:strRef>
          </c:tx>
          <c:spPr>
            <a:solidFill>
              <a:schemeClr val="accent1">
                <a:tint val="3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Graph'!$C$7:$C$56</c:f>
              <c:numCache>
                <c:formatCode>General</c:formatCode>
                <c:ptCount val="49"/>
                <c:pt idx="1">
                  <c:v>7.7</c:v>
                </c:pt>
                <c:pt idx="21">
                  <c:v>8.4</c:v>
                </c:pt>
                <c:pt idx="29">
                  <c:v>7.94</c:v>
                </c:pt>
              </c:numCache>
            </c:numRef>
          </c:val>
          <c:extLst>
            <c:ext xmlns:c16="http://schemas.microsoft.com/office/drawing/2014/chart" uri="{C3380CC4-5D6E-409C-BE32-E72D297353CC}">
              <c16:uniqueId val="{00000001-FACC-4170-A854-9F607DA50E2E}"/>
            </c:ext>
          </c:extLst>
        </c:ser>
        <c:ser>
          <c:idx val="2"/>
          <c:order val="2"/>
          <c:tx>
            <c:strRef>
              <c:f>'1st Graph'!$D$4:$D$6</c:f>
              <c:strCache>
                <c:ptCount val="1"/>
                <c:pt idx="0">
                  <c:v>Sum of Score - Bandai Namco Pictures</c:v>
                </c:pt>
              </c:strCache>
            </c:strRef>
          </c:tx>
          <c:spPr>
            <a:solidFill>
              <a:schemeClr val="accent1">
                <a:tint val="3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Graph'!$D$7:$D$56</c:f>
              <c:numCache>
                <c:formatCode>General</c:formatCode>
                <c:ptCount val="49"/>
                <c:pt idx="7">
                  <c:v>8.9</c:v>
                </c:pt>
              </c:numCache>
            </c:numRef>
          </c:val>
          <c:extLst>
            <c:ext xmlns:c16="http://schemas.microsoft.com/office/drawing/2014/chart" uri="{C3380CC4-5D6E-409C-BE32-E72D297353CC}">
              <c16:uniqueId val="{00000000-5D00-4FC7-A231-D9252C66D881}"/>
            </c:ext>
          </c:extLst>
        </c:ser>
        <c:ser>
          <c:idx val="3"/>
          <c:order val="3"/>
          <c:tx>
            <c:strRef>
              <c:f>'1st Graph'!$E$4:$E$6</c:f>
              <c:strCache>
                <c:ptCount val="1"/>
                <c:pt idx="0">
                  <c:v>Sum of Score - Bones</c:v>
                </c:pt>
              </c:strCache>
            </c:strRef>
          </c:tx>
          <c:spPr>
            <a:solidFill>
              <a:schemeClr val="accent1">
                <a:tint val="3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Graph'!$E$7:$E$56</c:f>
              <c:numCache>
                <c:formatCode>General</c:formatCode>
                <c:ptCount val="49"/>
                <c:pt idx="6">
                  <c:v>8.1</c:v>
                </c:pt>
                <c:pt idx="11">
                  <c:v>8.49</c:v>
                </c:pt>
                <c:pt idx="36">
                  <c:v>8.34</c:v>
                </c:pt>
                <c:pt idx="44">
                  <c:v>8.1999999999999993</c:v>
                </c:pt>
              </c:numCache>
            </c:numRef>
          </c:val>
          <c:extLst>
            <c:ext xmlns:c16="http://schemas.microsoft.com/office/drawing/2014/chart" uri="{C3380CC4-5D6E-409C-BE32-E72D297353CC}">
              <c16:uniqueId val="{00000001-5D00-4FC7-A231-D9252C66D881}"/>
            </c:ext>
          </c:extLst>
        </c:ser>
        <c:ser>
          <c:idx val="4"/>
          <c:order val="4"/>
          <c:tx>
            <c:strRef>
              <c:f>'1st Graph'!$F$4:$F$6</c:f>
              <c:strCache>
                <c:ptCount val="1"/>
                <c:pt idx="0">
                  <c:v>Sum of Score - Brain's Base </c:v>
                </c:pt>
              </c:strCache>
            </c:strRef>
          </c:tx>
          <c:spPr>
            <a:solidFill>
              <a:schemeClr val="accent1">
                <a:tint val="4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Graph'!$F$7:$F$56</c:f>
              <c:numCache>
                <c:formatCode>General</c:formatCode>
                <c:ptCount val="49"/>
                <c:pt idx="0">
                  <c:v>8.2899999999999991</c:v>
                </c:pt>
              </c:numCache>
            </c:numRef>
          </c:val>
          <c:extLst>
            <c:ext xmlns:c16="http://schemas.microsoft.com/office/drawing/2014/chart" uri="{C3380CC4-5D6E-409C-BE32-E72D297353CC}">
              <c16:uniqueId val="{00000002-5D00-4FC7-A231-D9252C66D881}"/>
            </c:ext>
          </c:extLst>
        </c:ser>
        <c:ser>
          <c:idx val="5"/>
          <c:order val="5"/>
          <c:tx>
            <c:strRef>
              <c:f>'1st Graph'!$G$4:$G$6</c:f>
              <c:strCache>
                <c:ptCount val="1"/>
                <c:pt idx="0">
                  <c:v>Sum of Score - CloverWorks</c:v>
                </c:pt>
              </c:strCache>
            </c:strRef>
          </c:tx>
          <c:spPr>
            <a:solidFill>
              <a:schemeClr val="accent1">
                <a:tint val="4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Graph'!$G$7:$G$56</c:f>
              <c:numCache>
                <c:formatCode>General</c:formatCode>
                <c:ptCount val="49"/>
                <c:pt idx="17">
                  <c:v>7.53</c:v>
                </c:pt>
                <c:pt idx="42">
                  <c:v>8.1950000000000003</c:v>
                </c:pt>
              </c:numCache>
            </c:numRef>
          </c:val>
          <c:extLst>
            <c:ext xmlns:c16="http://schemas.microsoft.com/office/drawing/2014/chart" uri="{C3380CC4-5D6E-409C-BE32-E72D297353CC}">
              <c16:uniqueId val="{00000003-5D00-4FC7-A231-D9252C66D881}"/>
            </c:ext>
          </c:extLst>
        </c:ser>
        <c:ser>
          <c:idx val="6"/>
          <c:order val="6"/>
          <c:tx>
            <c:strRef>
              <c:f>'1st Graph'!$H$4:$H$6</c:f>
              <c:strCache>
                <c:ptCount val="1"/>
                <c:pt idx="0">
                  <c:v>Sum of Score - David Production</c:v>
                </c:pt>
              </c:strCache>
            </c:strRef>
          </c:tx>
          <c:spPr>
            <a:solidFill>
              <a:schemeClr val="accent1">
                <a:tint val="4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Graph'!$H$7:$H$56</c:f>
              <c:numCache>
                <c:formatCode>General</c:formatCode>
                <c:ptCount val="49"/>
                <c:pt idx="41">
                  <c:v>7.76</c:v>
                </c:pt>
              </c:numCache>
            </c:numRef>
          </c:val>
          <c:extLst>
            <c:ext xmlns:c16="http://schemas.microsoft.com/office/drawing/2014/chart" uri="{C3380CC4-5D6E-409C-BE32-E72D297353CC}">
              <c16:uniqueId val="{00000004-5D00-4FC7-A231-D9252C66D881}"/>
            </c:ext>
          </c:extLst>
        </c:ser>
        <c:ser>
          <c:idx val="7"/>
          <c:order val="7"/>
          <c:tx>
            <c:strRef>
              <c:f>'1st Graph'!$I$4:$I$6</c:f>
              <c:strCache>
                <c:ptCount val="1"/>
                <c:pt idx="0">
                  <c:v>Sum of Score - Deen </c:v>
                </c:pt>
              </c:strCache>
            </c:strRef>
          </c:tx>
          <c:spPr>
            <a:solidFill>
              <a:schemeClr val="accent1">
                <a:tint val="4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Graph'!$I$7:$I$56</c:f>
              <c:numCache>
                <c:formatCode>General</c:formatCode>
                <c:ptCount val="49"/>
                <c:pt idx="38">
                  <c:v>8.6</c:v>
                </c:pt>
              </c:numCache>
            </c:numRef>
          </c:val>
          <c:extLst>
            <c:ext xmlns:c16="http://schemas.microsoft.com/office/drawing/2014/chart" uri="{C3380CC4-5D6E-409C-BE32-E72D297353CC}">
              <c16:uniqueId val="{00000005-5D00-4FC7-A231-D9252C66D881}"/>
            </c:ext>
          </c:extLst>
        </c:ser>
        <c:ser>
          <c:idx val="8"/>
          <c:order val="8"/>
          <c:tx>
            <c:strRef>
              <c:f>'1st Graph'!$J$4:$J$6</c:f>
              <c:strCache>
                <c:ptCount val="1"/>
                <c:pt idx="0">
                  <c:v>Sum of Score - J.C.Staff</c:v>
                </c:pt>
              </c:strCache>
            </c:strRef>
          </c:tx>
          <c:spPr>
            <a:solidFill>
              <a:schemeClr val="accent1">
                <a:tint val="4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Graph'!$J$7:$J$56</c:f>
              <c:numCache>
                <c:formatCode>General</c:formatCode>
                <c:ptCount val="49"/>
                <c:pt idx="5">
                  <c:v>8.15</c:v>
                </c:pt>
                <c:pt idx="10">
                  <c:v>8.1</c:v>
                </c:pt>
              </c:numCache>
            </c:numRef>
          </c:val>
          <c:extLst>
            <c:ext xmlns:c16="http://schemas.microsoft.com/office/drawing/2014/chart" uri="{C3380CC4-5D6E-409C-BE32-E72D297353CC}">
              <c16:uniqueId val="{00000006-5D00-4FC7-A231-D9252C66D881}"/>
            </c:ext>
          </c:extLst>
        </c:ser>
        <c:ser>
          <c:idx val="9"/>
          <c:order val="9"/>
          <c:tx>
            <c:strRef>
              <c:f>'1st Graph'!$K$4:$K$6</c:f>
              <c:strCache>
                <c:ptCount val="1"/>
                <c:pt idx="0">
                  <c:v>Sum of Score - Kinema Citrus</c:v>
                </c:pt>
              </c:strCache>
            </c:strRef>
          </c:tx>
          <c:spPr>
            <a:solidFill>
              <a:schemeClr val="accent1">
                <a:tint val="5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Graph'!$K$7:$K$56</c:f>
              <c:numCache>
                <c:formatCode>General</c:formatCode>
                <c:ptCount val="49"/>
                <c:pt idx="9">
                  <c:v>8.65</c:v>
                </c:pt>
              </c:numCache>
            </c:numRef>
          </c:val>
          <c:extLst>
            <c:ext xmlns:c16="http://schemas.microsoft.com/office/drawing/2014/chart" uri="{C3380CC4-5D6E-409C-BE32-E72D297353CC}">
              <c16:uniqueId val="{00000007-5D00-4FC7-A231-D9252C66D881}"/>
            </c:ext>
          </c:extLst>
        </c:ser>
        <c:ser>
          <c:idx val="10"/>
          <c:order val="10"/>
          <c:tx>
            <c:strRef>
              <c:f>'1st Graph'!$L$4:$L$6</c:f>
              <c:strCache>
                <c:ptCount val="1"/>
                <c:pt idx="0">
                  <c:v>Sum of Score - Kyoto Animation</c:v>
                </c:pt>
              </c:strCache>
            </c:strRef>
          </c:tx>
          <c:spPr>
            <a:solidFill>
              <a:schemeClr val="accent1">
                <a:tint val="5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Graph'!$L$7:$L$56</c:f>
              <c:numCache>
                <c:formatCode>General</c:formatCode>
                <c:ptCount val="49"/>
                <c:pt idx="25">
                  <c:v>8.93</c:v>
                </c:pt>
              </c:numCache>
            </c:numRef>
          </c:val>
          <c:extLst>
            <c:ext xmlns:c16="http://schemas.microsoft.com/office/drawing/2014/chart" uri="{C3380CC4-5D6E-409C-BE32-E72D297353CC}">
              <c16:uniqueId val="{00000008-5D00-4FC7-A231-D9252C66D881}"/>
            </c:ext>
          </c:extLst>
        </c:ser>
        <c:ser>
          <c:idx val="11"/>
          <c:order val="11"/>
          <c:tx>
            <c:strRef>
              <c:f>'1st Graph'!$M$4:$M$6</c:f>
              <c:strCache>
                <c:ptCount val="1"/>
                <c:pt idx="0">
                  <c:v>Sum of Score - Liden Films</c:v>
                </c:pt>
              </c:strCache>
            </c:strRef>
          </c:tx>
          <c:spPr>
            <a:solidFill>
              <a:schemeClr val="accent1">
                <a:tint val="5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Graph'!$M$7:$M$56</c:f>
              <c:numCache>
                <c:formatCode>General</c:formatCode>
                <c:ptCount val="49"/>
                <c:pt idx="37">
                  <c:v>7.6559999999999997</c:v>
                </c:pt>
                <c:pt idx="39">
                  <c:v>7.76</c:v>
                </c:pt>
              </c:numCache>
            </c:numRef>
          </c:val>
          <c:extLst>
            <c:ext xmlns:c16="http://schemas.microsoft.com/office/drawing/2014/chart" uri="{C3380CC4-5D6E-409C-BE32-E72D297353CC}">
              <c16:uniqueId val="{00000009-5D00-4FC7-A231-D9252C66D881}"/>
            </c:ext>
          </c:extLst>
        </c:ser>
        <c:ser>
          <c:idx val="12"/>
          <c:order val="12"/>
          <c:tx>
            <c:strRef>
              <c:f>'1st Graph'!$N$4:$N$6</c:f>
              <c:strCache>
                <c:ptCount val="1"/>
                <c:pt idx="0">
                  <c:v>Sum of Score - LIDENFILMS</c:v>
                </c:pt>
              </c:strCache>
            </c:strRef>
          </c:tx>
          <c:spPr>
            <a:solidFill>
              <a:schemeClr val="accent1">
                <a:tint val="5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Graph'!$N$7:$N$56</c:f>
              <c:numCache>
                <c:formatCode>General</c:formatCode>
                <c:ptCount val="49"/>
                <c:pt idx="18">
                  <c:v>7.835</c:v>
                </c:pt>
              </c:numCache>
            </c:numRef>
          </c:val>
          <c:extLst>
            <c:ext xmlns:c16="http://schemas.microsoft.com/office/drawing/2014/chart" uri="{C3380CC4-5D6E-409C-BE32-E72D297353CC}">
              <c16:uniqueId val="{0000000A-5D00-4FC7-A231-D9252C66D881}"/>
            </c:ext>
          </c:extLst>
        </c:ser>
        <c:ser>
          <c:idx val="13"/>
          <c:order val="13"/>
          <c:tx>
            <c:strRef>
              <c:f>'1st Graph'!$O$4:$O$6</c:f>
              <c:strCache>
                <c:ptCount val="1"/>
                <c:pt idx="0">
                  <c:v>Sum of Score - Mad house </c:v>
                </c:pt>
              </c:strCache>
            </c:strRef>
          </c:tx>
          <c:spPr>
            <a:solidFill>
              <a:schemeClr val="accent1">
                <a:tint val="5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Graph'!$O$7:$O$56</c:f>
              <c:numCache>
                <c:formatCode>General</c:formatCode>
                <c:ptCount val="49"/>
                <c:pt idx="28">
                  <c:v>8.8699999999999992</c:v>
                </c:pt>
              </c:numCache>
            </c:numRef>
          </c:val>
          <c:extLst>
            <c:ext xmlns:c16="http://schemas.microsoft.com/office/drawing/2014/chart" uri="{C3380CC4-5D6E-409C-BE32-E72D297353CC}">
              <c16:uniqueId val="{0000000B-5D00-4FC7-A231-D9252C66D881}"/>
            </c:ext>
          </c:extLst>
        </c:ser>
        <c:ser>
          <c:idx val="14"/>
          <c:order val="14"/>
          <c:tx>
            <c:strRef>
              <c:f>'1st Graph'!$P$4:$P$6</c:f>
              <c:strCache>
                <c:ptCount val="1"/>
                <c:pt idx="0">
                  <c:v>Sum of Score - Madhouse</c:v>
                </c:pt>
              </c:strCache>
            </c:strRef>
          </c:tx>
          <c:spPr>
            <a:solidFill>
              <a:schemeClr val="accent1">
                <a:tint val="6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Graph'!$P$7:$P$56</c:f>
              <c:numCache>
                <c:formatCode>General</c:formatCode>
                <c:ptCount val="49"/>
                <c:pt idx="14">
                  <c:v>8</c:v>
                </c:pt>
                <c:pt idx="20">
                  <c:v>9.0399999999999991</c:v>
                </c:pt>
              </c:numCache>
            </c:numRef>
          </c:val>
          <c:extLst>
            <c:ext xmlns:c16="http://schemas.microsoft.com/office/drawing/2014/chart" uri="{C3380CC4-5D6E-409C-BE32-E72D297353CC}">
              <c16:uniqueId val="{0000000C-5D00-4FC7-A231-D9252C66D881}"/>
            </c:ext>
          </c:extLst>
        </c:ser>
        <c:ser>
          <c:idx val="15"/>
          <c:order val="15"/>
          <c:tx>
            <c:strRef>
              <c:f>'1st Graph'!$Q$4:$Q$6</c:f>
              <c:strCache>
                <c:ptCount val="1"/>
                <c:pt idx="0">
                  <c:v>Sum of Score - Madhouse </c:v>
                </c:pt>
              </c:strCache>
            </c:strRef>
          </c:tx>
          <c:spPr>
            <a:solidFill>
              <a:schemeClr val="accent1">
                <a:tint val="6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Graph'!$Q$7:$Q$56</c:f>
              <c:numCache>
                <c:formatCode>General</c:formatCode>
                <c:ptCount val="49"/>
                <c:pt idx="4">
                  <c:v>8.6199999999999992</c:v>
                </c:pt>
              </c:numCache>
            </c:numRef>
          </c:val>
          <c:extLst>
            <c:ext xmlns:c16="http://schemas.microsoft.com/office/drawing/2014/chart" uri="{C3380CC4-5D6E-409C-BE32-E72D297353CC}">
              <c16:uniqueId val="{0000000D-5D00-4FC7-A231-D9252C66D881}"/>
            </c:ext>
          </c:extLst>
        </c:ser>
        <c:ser>
          <c:idx val="16"/>
          <c:order val="16"/>
          <c:tx>
            <c:strRef>
              <c:f>'1st Graph'!$R$4:$R$6</c:f>
              <c:strCache>
                <c:ptCount val="1"/>
                <c:pt idx="0">
                  <c:v>Sum of Score - MAPPA</c:v>
                </c:pt>
              </c:strCache>
            </c:strRef>
          </c:tx>
          <c:spPr>
            <a:solidFill>
              <a:schemeClr val="accent1">
                <a:tint val="6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Graph'!$R$7:$R$56</c:f>
              <c:numCache>
                <c:formatCode>General</c:formatCode>
                <c:ptCount val="49"/>
                <c:pt idx="48">
                  <c:v>8.7249999999999996</c:v>
                </c:pt>
              </c:numCache>
            </c:numRef>
          </c:val>
          <c:extLst>
            <c:ext xmlns:c16="http://schemas.microsoft.com/office/drawing/2014/chart" uri="{C3380CC4-5D6E-409C-BE32-E72D297353CC}">
              <c16:uniqueId val="{0000000E-5D00-4FC7-A231-D9252C66D881}"/>
            </c:ext>
          </c:extLst>
        </c:ser>
        <c:ser>
          <c:idx val="17"/>
          <c:order val="17"/>
          <c:tx>
            <c:strRef>
              <c:f>'1st Graph'!$S$4:$S$6</c:f>
              <c:strCache>
                <c:ptCount val="1"/>
                <c:pt idx="0">
                  <c:v>Sum of Score - P.A Works</c:v>
                </c:pt>
              </c:strCache>
            </c:strRef>
          </c:tx>
          <c:spPr>
            <a:solidFill>
              <a:schemeClr val="accent1">
                <a:tint val="6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Graph'!$S$7:$S$56</c:f>
              <c:numCache>
                <c:formatCode>General</c:formatCode>
                <c:ptCount val="49"/>
                <c:pt idx="3">
                  <c:v>8.15</c:v>
                </c:pt>
              </c:numCache>
            </c:numRef>
          </c:val>
          <c:extLst>
            <c:ext xmlns:c16="http://schemas.microsoft.com/office/drawing/2014/chart" uri="{C3380CC4-5D6E-409C-BE32-E72D297353CC}">
              <c16:uniqueId val="{0000000F-5D00-4FC7-A231-D9252C66D881}"/>
            </c:ext>
          </c:extLst>
        </c:ser>
        <c:ser>
          <c:idx val="18"/>
          <c:order val="18"/>
          <c:tx>
            <c:strRef>
              <c:f>'1st Graph'!$T$4:$T$6</c:f>
              <c:strCache>
                <c:ptCount val="1"/>
                <c:pt idx="0">
                  <c:v>Sum of Score - Pierrot</c:v>
                </c:pt>
              </c:strCache>
            </c:strRef>
          </c:tx>
          <c:spPr>
            <a:solidFill>
              <a:schemeClr val="accent1">
                <a:tint val="6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Graph'!$T$7:$T$56</c:f>
              <c:numCache>
                <c:formatCode>General</c:formatCode>
                <c:ptCount val="49"/>
                <c:pt idx="2">
                  <c:v>7.9</c:v>
                </c:pt>
                <c:pt idx="22">
                  <c:v>8.3000000000000007</c:v>
                </c:pt>
                <c:pt idx="35">
                  <c:v>9</c:v>
                </c:pt>
              </c:numCache>
            </c:numRef>
          </c:val>
          <c:extLst>
            <c:ext xmlns:c16="http://schemas.microsoft.com/office/drawing/2014/chart" uri="{C3380CC4-5D6E-409C-BE32-E72D297353CC}">
              <c16:uniqueId val="{00000010-5D00-4FC7-A231-D9252C66D881}"/>
            </c:ext>
          </c:extLst>
        </c:ser>
        <c:ser>
          <c:idx val="19"/>
          <c:order val="19"/>
          <c:tx>
            <c:strRef>
              <c:f>'1st Graph'!$U$4:$U$6</c:f>
              <c:strCache>
                <c:ptCount val="1"/>
                <c:pt idx="0">
                  <c:v>Sum of Score - Platinum Vision</c:v>
                </c:pt>
              </c:strCache>
            </c:strRef>
          </c:tx>
          <c:spPr>
            <a:solidFill>
              <a:schemeClr val="accent1">
                <a:tint val="7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Graph'!$U$7:$U$56</c:f>
              <c:numCache>
                <c:formatCode>General</c:formatCode>
                <c:ptCount val="49"/>
                <c:pt idx="8">
                  <c:v>8.1750000000000007</c:v>
                </c:pt>
              </c:numCache>
            </c:numRef>
          </c:val>
          <c:extLst>
            <c:ext xmlns:c16="http://schemas.microsoft.com/office/drawing/2014/chart" uri="{C3380CC4-5D6E-409C-BE32-E72D297353CC}">
              <c16:uniqueId val="{00000011-5D00-4FC7-A231-D9252C66D881}"/>
            </c:ext>
          </c:extLst>
        </c:ser>
        <c:ser>
          <c:idx val="20"/>
          <c:order val="20"/>
          <c:tx>
            <c:strRef>
              <c:f>'1st Graph'!$V$4:$V$6</c:f>
              <c:strCache>
                <c:ptCount val="1"/>
                <c:pt idx="0">
                  <c:v>Sum of Score - Production I.G</c:v>
                </c:pt>
              </c:strCache>
            </c:strRef>
          </c:tx>
          <c:spPr>
            <a:solidFill>
              <a:schemeClr val="accent1">
                <a:tint val="7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Graph'!$V$7:$V$56</c:f>
              <c:numCache>
                <c:formatCode>General</c:formatCode>
                <c:ptCount val="49"/>
                <c:pt idx="32">
                  <c:v>8.36</c:v>
                </c:pt>
              </c:numCache>
            </c:numRef>
          </c:val>
          <c:extLst>
            <c:ext xmlns:c16="http://schemas.microsoft.com/office/drawing/2014/chart" uri="{C3380CC4-5D6E-409C-BE32-E72D297353CC}">
              <c16:uniqueId val="{00000012-5D00-4FC7-A231-D9252C66D881}"/>
            </c:ext>
          </c:extLst>
        </c:ser>
        <c:ser>
          <c:idx val="21"/>
          <c:order val="21"/>
          <c:tx>
            <c:strRef>
              <c:f>'1st Graph'!$W$4:$W$6</c:f>
              <c:strCache>
                <c:ptCount val="1"/>
                <c:pt idx="0">
                  <c:v>Sum of Score - Shaft </c:v>
                </c:pt>
              </c:strCache>
            </c:strRef>
          </c:tx>
          <c:spPr>
            <a:solidFill>
              <a:schemeClr val="accent1">
                <a:tint val="7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Graph'!$W$7:$W$56</c:f>
              <c:numCache>
                <c:formatCode>General</c:formatCode>
                <c:ptCount val="49"/>
                <c:pt idx="24">
                  <c:v>8.3800000000000008</c:v>
                </c:pt>
                <c:pt idx="33">
                  <c:v>8.33</c:v>
                </c:pt>
              </c:numCache>
            </c:numRef>
          </c:val>
          <c:extLst>
            <c:ext xmlns:c16="http://schemas.microsoft.com/office/drawing/2014/chart" uri="{C3380CC4-5D6E-409C-BE32-E72D297353CC}">
              <c16:uniqueId val="{00000013-5D00-4FC7-A231-D9252C66D881}"/>
            </c:ext>
          </c:extLst>
        </c:ser>
        <c:ser>
          <c:idx val="22"/>
          <c:order val="22"/>
          <c:tx>
            <c:strRef>
              <c:f>'1st Graph'!$X$4:$X$6</c:f>
              <c:strCache>
                <c:ptCount val="1"/>
                <c:pt idx="0">
                  <c:v>Sum of Score - Shin Ei</c:v>
                </c:pt>
              </c:strCache>
            </c:strRef>
          </c:tx>
          <c:spPr>
            <a:solidFill>
              <a:schemeClr val="accent1">
                <a:tint val="7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Graph'!$X$7:$X$56</c:f>
              <c:numCache>
                <c:formatCode>General</c:formatCode>
                <c:ptCount val="49"/>
                <c:pt idx="31">
                  <c:v>7.81</c:v>
                </c:pt>
              </c:numCache>
            </c:numRef>
          </c:val>
          <c:extLst>
            <c:ext xmlns:c16="http://schemas.microsoft.com/office/drawing/2014/chart" uri="{C3380CC4-5D6E-409C-BE32-E72D297353CC}">
              <c16:uniqueId val="{00000014-5D00-4FC7-A231-D9252C66D881}"/>
            </c:ext>
          </c:extLst>
        </c:ser>
        <c:ser>
          <c:idx val="23"/>
          <c:order val="23"/>
          <c:tx>
            <c:strRef>
              <c:f>'1st Graph'!$Y$4:$Y$6</c:f>
              <c:strCache>
                <c:ptCount val="1"/>
                <c:pt idx="0">
                  <c:v>Sum of Score - Studio Pierrot</c:v>
                </c:pt>
              </c:strCache>
            </c:strRef>
          </c:tx>
          <c:spPr>
            <a:solidFill>
              <a:schemeClr val="accent1">
                <a:tint val="7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Graph'!$Y$7:$Y$56</c:f>
              <c:numCache>
                <c:formatCode>General</c:formatCode>
                <c:ptCount val="49"/>
                <c:pt idx="12">
                  <c:v>8.125</c:v>
                </c:pt>
              </c:numCache>
            </c:numRef>
          </c:val>
          <c:extLst>
            <c:ext xmlns:c16="http://schemas.microsoft.com/office/drawing/2014/chart" uri="{C3380CC4-5D6E-409C-BE32-E72D297353CC}">
              <c16:uniqueId val="{00000015-5D00-4FC7-A231-D9252C66D881}"/>
            </c:ext>
          </c:extLst>
        </c:ser>
        <c:ser>
          <c:idx val="24"/>
          <c:order val="24"/>
          <c:tx>
            <c:strRef>
              <c:f>'1st Graph'!$Z$4:$Z$6</c:f>
              <c:strCache>
                <c:ptCount val="1"/>
                <c:pt idx="0">
                  <c:v>Sum of Score - studio Sunrise</c:v>
                </c:pt>
              </c:strCache>
            </c:strRef>
          </c:tx>
          <c:spPr>
            <a:solidFill>
              <a:schemeClr val="accent1">
                <a:tint val="8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Graph'!$Z$7:$Z$56</c:f>
              <c:numCache>
                <c:formatCode>General</c:formatCode>
                <c:ptCount val="49"/>
                <c:pt idx="34">
                  <c:v>8.75</c:v>
                </c:pt>
              </c:numCache>
            </c:numRef>
          </c:val>
          <c:extLst>
            <c:ext xmlns:c16="http://schemas.microsoft.com/office/drawing/2014/chart" uri="{C3380CC4-5D6E-409C-BE32-E72D297353CC}">
              <c16:uniqueId val="{00000016-5D00-4FC7-A231-D9252C66D881}"/>
            </c:ext>
          </c:extLst>
        </c:ser>
        <c:ser>
          <c:idx val="25"/>
          <c:order val="25"/>
          <c:tx>
            <c:strRef>
              <c:f>'1st Graph'!$AA$4:$AA$6</c:f>
              <c:strCache>
                <c:ptCount val="1"/>
                <c:pt idx="0">
                  <c:v>Sum of Score - Sunrise </c:v>
                </c:pt>
              </c:strCache>
            </c:strRef>
          </c:tx>
          <c:spPr>
            <a:solidFill>
              <a:schemeClr val="accent1">
                <a:tint val="8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Graph'!$AA$7:$AA$56</c:f>
              <c:numCache>
                <c:formatCode>General</c:formatCode>
                <c:ptCount val="49"/>
                <c:pt idx="26">
                  <c:v>8.6999999999999993</c:v>
                </c:pt>
              </c:numCache>
            </c:numRef>
          </c:val>
          <c:extLst>
            <c:ext xmlns:c16="http://schemas.microsoft.com/office/drawing/2014/chart" uri="{C3380CC4-5D6E-409C-BE32-E72D297353CC}">
              <c16:uniqueId val="{00000017-5D00-4FC7-A231-D9252C66D881}"/>
            </c:ext>
          </c:extLst>
        </c:ser>
        <c:ser>
          <c:idx val="26"/>
          <c:order val="26"/>
          <c:tx>
            <c:strRef>
              <c:f>'1st Graph'!$AB$4:$AB$6</c:f>
              <c:strCache>
                <c:ptCount val="1"/>
                <c:pt idx="0">
                  <c:v>Sum of Score - TMS Entertainment V1 Studio</c:v>
                </c:pt>
              </c:strCache>
            </c:strRef>
          </c:tx>
          <c:spPr>
            <a:solidFill>
              <a:schemeClr val="accent1">
                <a:tint val="8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Graph'!$AB$7:$AB$56</c:f>
              <c:numCache>
                <c:formatCode>General</c:formatCode>
                <c:ptCount val="49"/>
                <c:pt idx="30">
                  <c:v>8.1</c:v>
                </c:pt>
              </c:numCache>
            </c:numRef>
          </c:val>
          <c:extLst>
            <c:ext xmlns:c16="http://schemas.microsoft.com/office/drawing/2014/chart" uri="{C3380CC4-5D6E-409C-BE32-E72D297353CC}">
              <c16:uniqueId val="{00000018-5D00-4FC7-A231-D9252C66D881}"/>
            </c:ext>
          </c:extLst>
        </c:ser>
        <c:ser>
          <c:idx val="27"/>
          <c:order val="27"/>
          <c:tx>
            <c:strRef>
              <c:f>'1st Graph'!$AC$4:$AC$6</c:f>
              <c:strCache>
                <c:ptCount val="1"/>
                <c:pt idx="0">
                  <c:v>Sum of Score - TMS/8PAN</c:v>
                </c:pt>
              </c:strCache>
            </c:strRef>
          </c:tx>
          <c:spPr>
            <a:solidFill>
              <a:schemeClr val="accent1">
                <a:tint val="8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Graph'!$AC$7:$AC$56</c:f>
              <c:numCache>
                <c:formatCode>General</c:formatCode>
                <c:ptCount val="49"/>
                <c:pt idx="23">
                  <c:v>8.99</c:v>
                </c:pt>
              </c:numCache>
            </c:numRef>
          </c:val>
          <c:extLst>
            <c:ext xmlns:c16="http://schemas.microsoft.com/office/drawing/2014/chart" uri="{C3380CC4-5D6E-409C-BE32-E72D297353CC}">
              <c16:uniqueId val="{00000019-5D00-4FC7-A231-D9252C66D881}"/>
            </c:ext>
          </c:extLst>
        </c:ser>
        <c:ser>
          <c:idx val="28"/>
          <c:order val="28"/>
          <c:tx>
            <c:strRef>
              <c:f>'1st Graph'!$AD$4:$AD$6</c:f>
              <c:strCache>
                <c:ptCount val="1"/>
                <c:pt idx="0">
                  <c:v>Sum of Score - Toei Animation</c:v>
                </c:pt>
              </c:strCache>
            </c:strRef>
          </c:tx>
          <c:spPr>
            <a:solidFill>
              <a:schemeClr val="accent1">
                <a:tint val="8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Graph'!$AD$7:$AD$56</c:f>
              <c:numCache>
                <c:formatCode>General</c:formatCode>
                <c:ptCount val="49"/>
                <c:pt idx="13">
                  <c:v>8.6999999999999993</c:v>
                </c:pt>
                <c:pt idx="15">
                  <c:v>7.73</c:v>
                </c:pt>
              </c:numCache>
            </c:numRef>
          </c:val>
          <c:extLst>
            <c:ext xmlns:c16="http://schemas.microsoft.com/office/drawing/2014/chart" uri="{C3380CC4-5D6E-409C-BE32-E72D297353CC}">
              <c16:uniqueId val="{0000001A-5D00-4FC7-A231-D9252C66D881}"/>
            </c:ext>
          </c:extLst>
        </c:ser>
        <c:ser>
          <c:idx val="29"/>
          <c:order val="29"/>
          <c:tx>
            <c:strRef>
              <c:f>'1st Graph'!$AE$4:$AE$6</c:f>
              <c:strCache>
                <c:ptCount val="1"/>
                <c:pt idx="0">
                  <c:v>Sum of Score - Tokuo Movie Shinsha</c:v>
                </c:pt>
              </c:strCache>
            </c:strRef>
          </c:tx>
          <c:spPr>
            <a:solidFill>
              <a:schemeClr val="accent1">
                <a:tint val="9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Graph'!$AE$7:$AE$56</c:f>
              <c:numCache>
                <c:formatCode>General</c:formatCode>
                <c:ptCount val="49"/>
                <c:pt idx="40">
                  <c:v>8.0500000000000007</c:v>
                </c:pt>
              </c:numCache>
            </c:numRef>
          </c:val>
          <c:extLst>
            <c:ext xmlns:c16="http://schemas.microsoft.com/office/drawing/2014/chart" uri="{C3380CC4-5D6E-409C-BE32-E72D297353CC}">
              <c16:uniqueId val="{0000001B-5D00-4FC7-A231-D9252C66D881}"/>
            </c:ext>
          </c:extLst>
        </c:ser>
        <c:ser>
          <c:idx val="30"/>
          <c:order val="30"/>
          <c:tx>
            <c:strRef>
              <c:f>'1st Graph'!$AF$4:$AF$6</c:f>
              <c:strCache>
                <c:ptCount val="1"/>
                <c:pt idx="0">
                  <c:v>Sum of Score - Ufotable</c:v>
                </c:pt>
              </c:strCache>
            </c:strRef>
          </c:tx>
          <c:spPr>
            <a:solidFill>
              <a:schemeClr val="accent1">
                <a:tint val="9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Graph'!$AF$7:$AF$56</c:f>
              <c:numCache>
                <c:formatCode>General</c:formatCode>
                <c:ptCount val="49"/>
                <c:pt idx="46">
                  <c:v>8.5</c:v>
                </c:pt>
              </c:numCache>
            </c:numRef>
          </c:val>
          <c:extLst>
            <c:ext xmlns:c16="http://schemas.microsoft.com/office/drawing/2014/chart" uri="{C3380CC4-5D6E-409C-BE32-E72D297353CC}">
              <c16:uniqueId val="{0000001C-5D00-4FC7-A231-D9252C66D881}"/>
            </c:ext>
          </c:extLst>
        </c:ser>
        <c:ser>
          <c:idx val="31"/>
          <c:order val="31"/>
          <c:tx>
            <c:strRef>
              <c:f>'1st Graph'!$AG$4:$AG$6</c:f>
              <c:strCache>
                <c:ptCount val="1"/>
                <c:pt idx="0">
                  <c:v>Sum of Score - White Fox</c:v>
                </c:pt>
              </c:strCache>
            </c:strRef>
          </c:tx>
          <c:spPr>
            <a:solidFill>
              <a:schemeClr val="accent1">
                <a:tint val="9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Graph'!$AG$7:$AG$56</c:f>
              <c:numCache>
                <c:formatCode>General</c:formatCode>
                <c:ptCount val="49"/>
                <c:pt idx="16">
                  <c:v>9.07</c:v>
                </c:pt>
              </c:numCache>
            </c:numRef>
          </c:val>
          <c:extLst>
            <c:ext xmlns:c16="http://schemas.microsoft.com/office/drawing/2014/chart" uri="{C3380CC4-5D6E-409C-BE32-E72D297353CC}">
              <c16:uniqueId val="{0000001D-5D00-4FC7-A231-D9252C66D881}"/>
            </c:ext>
          </c:extLst>
        </c:ser>
        <c:ser>
          <c:idx val="32"/>
          <c:order val="32"/>
          <c:tx>
            <c:strRef>
              <c:f>'1st Graph'!$AH$4:$AH$6</c:f>
              <c:strCache>
                <c:ptCount val="1"/>
                <c:pt idx="0">
                  <c:v>Sum of Score - Wit Studio</c:v>
                </c:pt>
              </c:strCache>
            </c:strRef>
          </c:tx>
          <c:spPr>
            <a:solidFill>
              <a:schemeClr val="accent1">
                <a:tint val="9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Graph'!$AH$7:$AH$56</c:f>
              <c:numCache>
                <c:formatCode>General</c:formatCode>
                <c:ptCount val="49"/>
                <c:pt idx="19">
                  <c:v>8.5</c:v>
                </c:pt>
                <c:pt idx="43">
                  <c:v>7.62</c:v>
                </c:pt>
                <c:pt idx="47">
                  <c:v>8.7799999999999994</c:v>
                </c:pt>
              </c:numCache>
            </c:numRef>
          </c:val>
          <c:extLst>
            <c:ext xmlns:c16="http://schemas.microsoft.com/office/drawing/2014/chart" uri="{C3380CC4-5D6E-409C-BE32-E72D297353CC}">
              <c16:uniqueId val="{0000001E-5D00-4FC7-A231-D9252C66D881}"/>
            </c:ext>
          </c:extLst>
        </c:ser>
        <c:ser>
          <c:idx val="33"/>
          <c:order val="33"/>
          <c:tx>
            <c:strRef>
              <c:f>'1st Graph'!$AI$4:$AI$6</c:f>
              <c:strCache>
                <c:ptCount val="1"/>
                <c:pt idx="0">
                  <c:v>Sum of Score - Wit Studio and CloverWorks</c:v>
                </c:pt>
              </c:strCache>
            </c:strRef>
          </c:tx>
          <c:spPr>
            <a:solidFill>
              <a:schemeClr val="accent1">
                <a:tint val="9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Graph'!$AI$7:$AI$56</c:f>
              <c:numCache>
                <c:formatCode>General</c:formatCode>
                <c:ptCount val="49"/>
                <c:pt idx="27">
                  <c:v>8.59</c:v>
                </c:pt>
              </c:numCache>
            </c:numRef>
          </c:val>
          <c:extLst>
            <c:ext xmlns:c16="http://schemas.microsoft.com/office/drawing/2014/chart" uri="{C3380CC4-5D6E-409C-BE32-E72D297353CC}">
              <c16:uniqueId val="{0000001F-5D00-4FC7-A231-D9252C66D881}"/>
            </c:ext>
          </c:extLst>
        </c:ser>
        <c:ser>
          <c:idx val="34"/>
          <c:order val="34"/>
          <c:tx>
            <c:strRef>
              <c:f>'1st Graph'!$AJ$4:$AJ$6</c:f>
              <c:strCache>
                <c:ptCount val="1"/>
                <c:pt idx="0">
                  <c:v>Sum of Members  - 8bit</c:v>
                </c:pt>
              </c:strCache>
            </c:strRef>
          </c:tx>
          <c:spPr>
            <a:solidFill>
              <a:schemeClr val="accent1">
                <a:shade val="9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Graph'!$AJ$7:$AJ$56</c:f>
              <c:numCache>
                <c:formatCode>General</c:formatCode>
                <c:ptCount val="49"/>
                <c:pt idx="45">
                  <c:v>592901</c:v>
                </c:pt>
              </c:numCache>
            </c:numRef>
          </c:val>
          <c:extLst>
            <c:ext xmlns:c16="http://schemas.microsoft.com/office/drawing/2014/chart" uri="{C3380CC4-5D6E-409C-BE32-E72D297353CC}">
              <c16:uniqueId val="{00000020-5D00-4FC7-A231-D9252C66D881}"/>
            </c:ext>
          </c:extLst>
        </c:ser>
        <c:ser>
          <c:idx val="35"/>
          <c:order val="35"/>
          <c:tx>
            <c:strRef>
              <c:f>'1st Graph'!$AK$4:$AK$6</c:f>
              <c:strCache>
                <c:ptCount val="1"/>
                <c:pt idx="0">
                  <c:v>Sum of Members  - A-1 Pictures</c:v>
                </c:pt>
              </c:strCache>
            </c:strRef>
          </c:tx>
          <c:spPr>
            <a:solidFill>
              <a:schemeClr val="accent1">
                <a:shade val="9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Graph'!$AK$7:$AK$56</c:f>
              <c:numCache>
                <c:formatCode>General</c:formatCode>
                <c:ptCount val="49"/>
                <c:pt idx="1">
                  <c:v>2096752</c:v>
                </c:pt>
                <c:pt idx="21">
                  <c:v>3800042</c:v>
                </c:pt>
                <c:pt idx="29">
                  <c:v>1143085</c:v>
                </c:pt>
              </c:numCache>
            </c:numRef>
          </c:val>
          <c:extLst>
            <c:ext xmlns:c16="http://schemas.microsoft.com/office/drawing/2014/chart" uri="{C3380CC4-5D6E-409C-BE32-E72D297353CC}">
              <c16:uniqueId val="{00000021-5D00-4FC7-A231-D9252C66D881}"/>
            </c:ext>
          </c:extLst>
        </c:ser>
        <c:ser>
          <c:idx val="36"/>
          <c:order val="36"/>
          <c:tx>
            <c:strRef>
              <c:f>'1st Graph'!$AL$4:$AL$6</c:f>
              <c:strCache>
                <c:ptCount val="1"/>
                <c:pt idx="0">
                  <c:v>Sum of Members  - Bandai Namco Pictures</c:v>
                </c:pt>
              </c:strCache>
            </c:strRef>
          </c:tx>
          <c:spPr>
            <a:solidFill>
              <a:schemeClr val="accent1">
                <a:shade val="9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Graph'!$AL$7:$AL$56</c:f>
              <c:numCache>
                <c:formatCode>General</c:formatCode>
                <c:ptCount val="49"/>
                <c:pt idx="7">
                  <c:v>3190132</c:v>
                </c:pt>
              </c:numCache>
            </c:numRef>
          </c:val>
          <c:extLst>
            <c:ext xmlns:c16="http://schemas.microsoft.com/office/drawing/2014/chart" uri="{C3380CC4-5D6E-409C-BE32-E72D297353CC}">
              <c16:uniqueId val="{00000022-5D00-4FC7-A231-D9252C66D881}"/>
            </c:ext>
          </c:extLst>
        </c:ser>
        <c:ser>
          <c:idx val="37"/>
          <c:order val="37"/>
          <c:tx>
            <c:strRef>
              <c:f>'1st Graph'!$AM$4:$AM$6</c:f>
              <c:strCache>
                <c:ptCount val="1"/>
                <c:pt idx="0">
                  <c:v>Sum of Members  - Bones</c:v>
                </c:pt>
              </c:strCache>
            </c:strRef>
          </c:tx>
          <c:spPr>
            <a:solidFill>
              <a:schemeClr val="accent1">
                <a:shade val="9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Graph'!$AM$7:$AM$56</c:f>
              <c:numCache>
                <c:formatCode>General</c:formatCode>
                <c:ptCount val="49"/>
                <c:pt idx="6">
                  <c:v>4660534</c:v>
                </c:pt>
                <c:pt idx="11">
                  <c:v>4053230</c:v>
                </c:pt>
                <c:pt idx="36">
                  <c:v>10835267</c:v>
                </c:pt>
                <c:pt idx="44">
                  <c:v>756621</c:v>
                </c:pt>
              </c:numCache>
            </c:numRef>
          </c:val>
          <c:extLst>
            <c:ext xmlns:c16="http://schemas.microsoft.com/office/drawing/2014/chart" uri="{C3380CC4-5D6E-409C-BE32-E72D297353CC}">
              <c16:uniqueId val="{00000023-5D00-4FC7-A231-D9252C66D881}"/>
            </c:ext>
          </c:extLst>
        </c:ser>
        <c:ser>
          <c:idx val="38"/>
          <c:order val="38"/>
          <c:tx>
            <c:strRef>
              <c:f>'1st Graph'!$AN$4:$AN$6</c:f>
              <c:strCache>
                <c:ptCount val="1"/>
                <c:pt idx="0">
                  <c:v>Sum of Members  - Brain's Base </c:v>
                </c:pt>
              </c:strCache>
            </c:strRef>
          </c:tx>
          <c:spPr>
            <a:solidFill>
              <a:schemeClr val="accent1">
                <a:shade val="9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Graph'!$AN$7:$AN$56</c:f>
              <c:numCache>
                <c:formatCode>General</c:formatCode>
                <c:ptCount val="49"/>
                <c:pt idx="0">
                  <c:v>3326174</c:v>
                </c:pt>
              </c:numCache>
            </c:numRef>
          </c:val>
          <c:extLst>
            <c:ext xmlns:c16="http://schemas.microsoft.com/office/drawing/2014/chart" uri="{C3380CC4-5D6E-409C-BE32-E72D297353CC}">
              <c16:uniqueId val="{00000024-5D00-4FC7-A231-D9252C66D881}"/>
            </c:ext>
          </c:extLst>
        </c:ser>
        <c:ser>
          <c:idx val="39"/>
          <c:order val="39"/>
          <c:tx>
            <c:strRef>
              <c:f>'1st Graph'!$AO$4:$AO$6</c:f>
              <c:strCache>
                <c:ptCount val="1"/>
                <c:pt idx="0">
                  <c:v>Sum of Members  - CloverWorks</c:v>
                </c:pt>
              </c:strCache>
            </c:strRef>
          </c:tx>
          <c:spPr>
            <a:solidFill>
              <a:schemeClr val="accent1">
                <a:shade val="8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Graph'!$AO$7:$AO$56</c:f>
              <c:numCache>
                <c:formatCode>General</c:formatCode>
                <c:ptCount val="49"/>
                <c:pt idx="17">
                  <c:v>414347</c:v>
                </c:pt>
                <c:pt idx="42">
                  <c:v>1514063</c:v>
                </c:pt>
              </c:numCache>
            </c:numRef>
          </c:val>
          <c:extLst>
            <c:ext xmlns:c16="http://schemas.microsoft.com/office/drawing/2014/chart" uri="{C3380CC4-5D6E-409C-BE32-E72D297353CC}">
              <c16:uniqueId val="{00000025-5D00-4FC7-A231-D9252C66D881}"/>
            </c:ext>
          </c:extLst>
        </c:ser>
        <c:ser>
          <c:idx val="40"/>
          <c:order val="40"/>
          <c:tx>
            <c:strRef>
              <c:f>'1st Graph'!$AP$4:$AP$6</c:f>
              <c:strCache>
                <c:ptCount val="1"/>
                <c:pt idx="0">
                  <c:v>Sum of Members  - David Production</c:v>
                </c:pt>
              </c:strCache>
            </c:strRef>
          </c:tx>
          <c:spPr>
            <a:solidFill>
              <a:schemeClr val="accent1">
                <a:shade val="8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Graph'!$AP$7:$AP$56</c:f>
              <c:numCache>
                <c:formatCode>General</c:formatCode>
                <c:ptCount val="49"/>
                <c:pt idx="41">
                  <c:v>2008234</c:v>
                </c:pt>
              </c:numCache>
            </c:numRef>
          </c:val>
          <c:extLst>
            <c:ext xmlns:c16="http://schemas.microsoft.com/office/drawing/2014/chart" uri="{C3380CC4-5D6E-409C-BE32-E72D297353CC}">
              <c16:uniqueId val="{00000026-5D00-4FC7-A231-D9252C66D881}"/>
            </c:ext>
          </c:extLst>
        </c:ser>
        <c:ser>
          <c:idx val="41"/>
          <c:order val="41"/>
          <c:tx>
            <c:strRef>
              <c:f>'1st Graph'!$AQ$4:$AQ$6</c:f>
              <c:strCache>
                <c:ptCount val="1"/>
                <c:pt idx="0">
                  <c:v>Sum of Members  - Deen </c:v>
                </c:pt>
              </c:strCache>
            </c:strRef>
          </c:tx>
          <c:spPr>
            <a:solidFill>
              <a:schemeClr val="accent1">
                <a:shade val="8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Graph'!$AQ$7:$AQ$56</c:f>
              <c:numCache>
                <c:formatCode>General</c:formatCode>
                <c:ptCount val="49"/>
                <c:pt idx="38">
                  <c:v>420950</c:v>
                </c:pt>
              </c:numCache>
            </c:numRef>
          </c:val>
          <c:extLst>
            <c:ext xmlns:c16="http://schemas.microsoft.com/office/drawing/2014/chart" uri="{C3380CC4-5D6E-409C-BE32-E72D297353CC}">
              <c16:uniqueId val="{00000027-5D00-4FC7-A231-D9252C66D881}"/>
            </c:ext>
          </c:extLst>
        </c:ser>
        <c:ser>
          <c:idx val="42"/>
          <c:order val="42"/>
          <c:tx>
            <c:strRef>
              <c:f>'1st Graph'!$AR$4:$AR$6</c:f>
              <c:strCache>
                <c:ptCount val="1"/>
                <c:pt idx="0">
                  <c:v>Sum of Members  - J.C.Staff</c:v>
                </c:pt>
              </c:strCache>
            </c:strRef>
          </c:tx>
          <c:spPr>
            <a:solidFill>
              <a:schemeClr val="accent1">
                <a:shade val="8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Graph'!$AR$7:$AR$56</c:f>
              <c:numCache>
                <c:formatCode>General</c:formatCode>
                <c:ptCount val="49"/>
                <c:pt idx="5">
                  <c:v>4764750</c:v>
                </c:pt>
                <c:pt idx="10">
                  <c:v>1215940</c:v>
                </c:pt>
              </c:numCache>
            </c:numRef>
          </c:val>
          <c:extLst>
            <c:ext xmlns:c16="http://schemas.microsoft.com/office/drawing/2014/chart" uri="{C3380CC4-5D6E-409C-BE32-E72D297353CC}">
              <c16:uniqueId val="{00000028-5D00-4FC7-A231-D9252C66D881}"/>
            </c:ext>
          </c:extLst>
        </c:ser>
        <c:ser>
          <c:idx val="43"/>
          <c:order val="43"/>
          <c:tx>
            <c:strRef>
              <c:f>'1st Graph'!$AS$4:$AS$6</c:f>
              <c:strCache>
                <c:ptCount val="1"/>
                <c:pt idx="0">
                  <c:v>Sum of Members  - Kinema Citrus</c:v>
                </c:pt>
              </c:strCache>
            </c:strRef>
          </c:tx>
          <c:spPr>
            <a:solidFill>
              <a:schemeClr val="accent1">
                <a:shade val="8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Graph'!$AS$7:$AS$56</c:f>
              <c:numCache>
                <c:formatCode>General</c:formatCode>
                <c:ptCount val="49"/>
                <c:pt idx="9">
                  <c:v>1723257</c:v>
                </c:pt>
              </c:numCache>
            </c:numRef>
          </c:val>
          <c:extLst>
            <c:ext xmlns:c16="http://schemas.microsoft.com/office/drawing/2014/chart" uri="{C3380CC4-5D6E-409C-BE32-E72D297353CC}">
              <c16:uniqueId val="{00000029-5D00-4FC7-A231-D9252C66D881}"/>
            </c:ext>
          </c:extLst>
        </c:ser>
        <c:ser>
          <c:idx val="44"/>
          <c:order val="44"/>
          <c:tx>
            <c:strRef>
              <c:f>'1st Graph'!$AT$4:$AT$6</c:f>
              <c:strCache>
                <c:ptCount val="1"/>
                <c:pt idx="0">
                  <c:v>Sum of Members  - Kyoto Animation</c:v>
                </c:pt>
              </c:strCache>
            </c:strRef>
          </c:tx>
          <c:spPr>
            <a:solidFill>
              <a:schemeClr val="accent1">
                <a:shade val="7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Graph'!$AT$7:$AT$56</c:f>
              <c:numCache>
                <c:formatCode>General</c:formatCode>
                <c:ptCount val="49"/>
                <c:pt idx="25">
                  <c:v>2546211</c:v>
                </c:pt>
              </c:numCache>
            </c:numRef>
          </c:val>
          <c:extLst>
            <c:ext xmlns:c16="http://schemas.microsoft.com/office/drawing/2014/chart" uri="{C3380CC4-5D6E-409C-BE32-E72D297353CC}">
              <c16:uniqueId val="{0000002A-5D00-4FC7-A231-D9252C66D881}"/>
            </c:ext>
          </c:extLst>
        </c:ser>
        <c:ser>
          <c:idx val="45"/>
          <c:order val="45"/>
          <c:tx>
            <c:strRef>
              <c:f>'1st Graph'!$AU$4:$AU$6</c:f>
              <c:strCache>
                <c:ptCount val="1"/>
                <c:pt idx="0">
                  <c:v>Sum of Members  - Liden Films</c:v>
                </c:pt>
              </c:strCache>
            </c:strRef>
          </c:tx>
          <c:spPr>
            <a:solidFill>
              <a:schemeClr val="accent1">
                <a:shade val="7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Graph'!$AU$7:$AU$56</c:f>
              <c:numCache>
                <c:formatCode>General</c:formatCode>
                <c:ptCount val="49"/>
                <c:pt idx="37">
                  <c:v>1185383</c:v>
                </c:pt>
                <c:pt idx="39">
                  <c:v>484059</c:v>
                </c:pt>
              </c:numCache>
            </c:numRef>
          </c:val>
          <c:extLst>
            <c:ext xmlns:c16="http://schemas.microsoft.com/office/drawing/2014/chart" uri="{C3380CC4-5D6E-409C-BE32-E72D297353CC}">
              <c16:uniqueId val="{0000002B-5D00-4FC7-A231-D9252C66D881}"/>
            </c:ext>
          </c:extLst>
        </c:ser>
        <c:ser>
          <c:idx val="46"/>
          <c:order val="46"/>
          <c:tx>
            <c:strRef>
              <c:f>'1st Graph'!$AV$4:$AV$6</c:f>
              <c:strCache>
                <c:ptCount val="1"/>
                <c:pt idx="0">
                  <c:v>Sum of Members  - LIDENFILMS</c:v>
                </c:pt>
              </c:strCache>
            </c:strRef>
          </c:tx>
          <c:spPr>
            <a:solidFill>
              <a:schemeClr val="accent1">
                <a:shade val="7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Graph'!$AV$7:$AV$56</c:f>
              <c:numCache>
                <c:formatCode>General</c:formatCode>
                <c:ptCount val="49"/>
                <c:pt idx="18">
                  <c:v>1494644</c:v>
                </c:pt>
              </c:numCache>
            </c:numRef>
          </c:val>
          <c:extLst>
            <c:ext xmlns:c16="http://schemas.microsoft.com/office/drawing/2014/chart" uri="{C3380CC4-5D6E-409C-BE32-E72D297353CC}">
              <c16:uniqueId val="{0000002C-5D00-4FC7-A231-D9252C66D881}"/>
            </c:ext>
          </c:extLst>
        </c:ser>
        <c:ser>
          <c:idx val="47"/>
          <c:order val="47"/>
          <c:tx>
            <c:strRef>
              <c:f>'1st Graph'!$AW$4:$AW$6</c:f>
              <c:strCache>
                <c:ptCount val="1"/>
                <c:pt idx="0">
                  <c:v>Sum of Members  - Mad house </c:v>
                </c:pt>
              </c:strCache>
            </c:strRef>
          </c:tx>
          <c:spPr>
            <a:solidFill>
              <a:schemeClr val="accent1">
                <a:shade val="7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Graph'!$AW$7:$AW$56</c:f>
              <c:numCache>
                <c:formatCode>General</c:formatCode>
                <c:ptCount val="49"/>
                <c:pt idx="28">
                  <c:v>1043697</c:v>
                </c:pt>
              </c:numCache>
            </c:numRef>
          </c:val>
          <c:extLst>
            <c:ext xmlns:c16="http://schemas.microsoft.com/office/drawing/2014/chart" uri="{C3380CC4-5D6E-409C-BE32-E72D297353CC}">
              <c16:uniqueId val="{0000002D-5D00-4FC7-A231-D9252C66D881}"/>
            </c:ext>
          </c:extLst>
        </c:ser>
        <c:ser>
          <c:idx val="48"/>
          <c:order val="48"/>
          <c:tx>
            <c:strRef>
              <c:f>'1st Graph'!$AX$4:$AX$6</c:f>
              <c:strCache>
                <c:ptCount val="1"/>
                <c:pt idx="0">
                  <c:v>Sum of Members  - Madhouse</c:v>
                </c:pt>
              </c:strCache>
            </c:strRef>
          </c:tx>
          <c:spPr>
            <a:solidFill>
              <a:schemeClr val="accent1">
                <a:shade val="7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Graph'!$AX$7:$AX$56</c:f>
              <c:numCache>
                <c:formatCode>General</c:formatCode>
                <c:ptCount val="49"/>
                <c:pt idx="14">
                  <c:v>4724772</c:v>
                </c:pt>
                <c:pt idx="20">
                  <c:v>2704285</c:v>
                </c:pt>
              </c:numCache>
            </c:numRef>
          </c:val>
          <c:extLst>
            <c:ext xmlns:c16="http://schemas.microsoft.com/office/drawing/2014/chart" uri="{C3380CC4-5D6E-409C-BE32-E72D297353CC}">
              <c16:uniqueId val="{0000002E-5D00-4FC7-A231-D9252C66D881}"/>
            </c:ext>
          </c:extLst>
        </c:ser>
        <c:ser>
          <c:idx val="49"/>
          <c:order val="49"/>
          <c:tx>
            <c:strRef>
              <c:f>'1st Graph'!$AY$4:$AY$6</c:f>
              <c:strCache>
                <c:ptCount val="1"/>
                <c:pt idx="0">
                  <c:v>Sum of Members  - Madhouse </c:v>
                </c:pt>
              </c:strCache>
            </c:strRef>
          </c:tx>
          <c:spPr>
            <a:solidFill>
              <a:schemeClr val="accent1">
                <a:shade val="6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Graph'!$AY$7:$AY$56</c:f>
              <c:numCache>
                <c:formatCode>General</c:formatCode>
                <c:ptCount val="49"/>
                <c:pt idx="4">
                  <c:v>3766726</c:v>
                </c:pt>
              </c:numCache>
            </c:numRef>
          </c:val>
          <c:extLst>
            <c:ext xmlns:c16="http://schemas.microsoft.com/office/drawing/2014/chart" uri="{C3380CC4-5D6E-409C-BE32-E72D297353CC}">
              <c16:uniqueId val="{0000002F-5D00-4FC7-A231-D9252C66D881}"/>
            </c:ext>
          </c:extLst>
        </c:ser>
        <c:ser>
          <c:idx val="50"/>
          <c:order val="50"/>
          <c:tx>
            <c:strRef>
              <c:f>'1st Graph'!$AZ$4:$AZ$6</c:f>
              <c:strCache>
                <c:ptCount val="1"/>
                <c:pt idx="0">
                  <c:v>Sum of Members  - MAPPA</c:v>
                </c:pt>
              </c:strCache>
            </c:strRef>
          </c:tx>
          <c:spPr>
            <a:solidFill>
              <a:schemeClr val="accent1">
                <a:shade val="6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Graph'!$AZ$7:$AZ$56</c:f>
              <c:numCache>
                <c:formatCode>General</c:formatCode>
                <c:ptCount val="49"/>
                <c:pt idx="48">
                  <c:v>2899568</c:v>
                </c:pt>
              </c:numCache>
            </c:numRef>
          </c:val>
          <c:extLst>
            <c:ext xmlns:c16="http://schemas.microsoft.com/office/drawing/2014/chart" uri="{C3380CC4-5D6E-409C-BE32-E72D297353CC}">
              <c16:uniqueId val="{00000030-5D00-4FC7-A231-D9252C66D881}"/>
            </c:ext>
          </c:extLst>
        </c:ser>
        <c:ser>
          <c:idx val="51"/>
          <c:order val="51"/>
          <c:tx>
            <c:strRef>
              <c:f>'1st Graph'!$BA$4:$BA$6</c:f>
              <c:strCache>
                <c:ptCount val="1"/>
                <c:pt idx="0">
                  <c:v>Sum of Members  - P.A Works</c:v>
                </c:pt>
              </c:strCache>
            </c:strRef>
          </c:tx>
          <c:spPr>
            <a:solidFill>
              <a:schemeClr val="accent1">
                <a:shade val="6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Graph'!$BA$7:$BA$56</c:f>
              <c:numCache>
                <c:formatCode>General</c:formatCode>
                <c:ptCount val="49"/>
                <c:pt idx="3">
                  <c:v>229007</c:v>
                </c:pt>
              </c:numCache>
            </c:numRef>
          </c:val>
          <c:extLst>
            <c:ext xmlns:c16="http://schemas.microsoft.com/office/drawing/2014/chart" uri="{C3380CC4-5D6E-409C-BE32-E72D297353CC}">
              <c16:uniqueId val="{00000031-5D00-4FC7-A231-D9252C66D881}"/>
            </c:ext>
          </c:extLst>
        </c:ser>
        <c:ser>
          <c:idx val="52"/>
          <c:order val="52"/>
          <c:tx>
            <c:strRef>
              <c:f>'1st Graph'!$BB$4:$BB$6</c:f>
              <c:strCache>
                <c:ptCount val="1"/>
                <c:pt idx="0">
                  <c:v>Sum of Members  - Pierrot</c:v>
                </c:pt>
              </c:strCache>
            </c:strRef>
          </c:tx>
          <c:spPr>
            <a:solidFill>
              <a:schemeClr val="accent1">
                <a:shade val="6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Graph'!$BB$7:$BB$56</c:f>
              <c:numCache>
                <c:formatCode>General</c:formatCode>
                <c:ptCount val="49"/>
                <c:pt idx="2">
                  <c:v>2366714</c:v>
                </c:pt>
                <c:pt idx="22">
                  <c:v>827002</c:v>
                </c:pt>
                <c:pt idx="35">
                  <c:v>477345</c:v>
                </c:pt>
              </c:numCache>
            </c:numRef>
          </c:val>
          <c:extLst>
            <c:ext xmlns:c16="http://schemas.microsoft.com/office/drawing/2014/chart" uri="{C3380CC4-5D6E-409C-BE32-E72D297353CC}">
              <c16:uniqueId val="{00000032-5D00-4FC7-A231-D9252C66D881}"/>
            </c:ext>
          </c:extLst>
        </c:ser>
        <c:ser>
          <c:idx val="53"/>
          <c:order val="53"/>
          <c:tx>
            <c:strRef>
              <c:f>'1st Graph'!$BC$4:$BC$6</c:f>
              <c:strCache>
                <c:ptCount val="1"/>
                <c:pt idx="0">
                  <c:v>Sum of Members  - Platinum Vision</c:v>
                </c:pt>
              </c:strCache>
            </c:strRef>
          </c:tx>
          <c:spPr>
            <a:solidFill>
              <a:schemeClr val="accent1">
                <a:shade val="6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Graph'!$BC$7:$BC$56</c:f>
              <c:numCache>
                <c:formatCode>General</c:formatCode>
                <c:ptCount val="49"/>
                <c:pt idx="8">
                  <c:v>459102</c:v>
                </c:pt>
              </c:numCache>
            </c:numRef>
          </c:val>
          <c:extLst>
            <c:ext xmlns:c16="http://schemas.microsoft.com/office/drawing/2014/chart" uri="{C3380CC4-5D6E-409C-BE32-E72D297353CC}">
              <c16:uniqueId val="{00000033-5D00-4FC7-A231-D9252C66D881}"/>
            </c:ext>
          </c:extLst>
        </c:ser>
        <c:ser>
          <c:idx val="54"/>
          <c:order val="54"/>
          <c:tx>
            <c:strRef>
              <c:f>'1st Graph'!$BD$4:$BD$6</c:f>
              <c:strCache>
                <c:ptCount val="1"/>
                <c:pt idx="0">
                  <c:v>Sum of Members  - Production I.G</c:v>
                </c:pt>
              </c:strCache>
            </c:strRef>
          </c:tx>
          <c:spPr>
            <a:solidFill>
              <a:schemeClr val="accent1">
                <a:shade val="5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Graph'!$BD$7:$BD$56</c:f>
              <c:numCache>
                <c:formatCode>General</c:formatCode>
                <c:ptCount val="49"/>
                <c:pt idx="32">
                  <c:v>5210406</c:v>
                </c:pt>
              </c:numCache>
            </c:numRef>
          </c:val>
          <c:extLst>
            <c:ext xmlns:c16="http://schemas.microsoft.com/office/drawing/2014/chart" uri="{C3380CC4-5D6E-409C-BE32-E72D297353CC}">
              <c16:uniqueId val="{00000034-5D00-4FC7-A231-D9252C66D881}"/>
            </c:ext>
          </c:extLst>
        </c:ser>
        <c:ser>
          <c:idx val="55"/>
          <c:order val="55"/>
          <c:tx>
            <c:strRef>
              <c:f>'1st Graph'!$BE$4:$BE$6</c:f>
              <c:strCache>
                <c:ptCount val="1"/>
                <c:pt idx="0">
                  <c:v>Sum of Members  - Shaft </c:v>
                </c:pt>
              </c:strCache>
            </c:strRef>
          </c:tx>
          <c:spPr>
            <a:solidFill>
              <a:schemeClr val="accent1">
                <a:shade val="5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Graph'!$BE$7:$BE$56</c:f>
              <c:numCache>
                <c:formatCode>General</c:formatCode>
                <c:ptCount val="49"/>
                <c:pt idx="24">
                  <c:v>1049204</c:v>
                </c:pt>
                <c:pt idx="33">
                  <c:v>2264679</c:v>
                </c:pt>
              </c:numCache>
            </c:numRef>
          </c:val>
          <c:extLst>
            <c:ext xmlns:c16="http://schemas.microsoft.com/office/drawing/2014/chart" uri="{C3380CC4-5D6E-409C-BE32-E72D297353CC}">
              <c16:uniqueId val="{00000035-5D00-4FC7-A231-D9252C66D881}"/>
            </c:ext>
          </c:extLst>
        </c:ser>
        <c:ser>
          <c:idx val="56"/>
          <c:order val="56"/>
          <c:tx>
            <c:strRef>
              <c:f>'1st Graph'!$BF$4:$BF$6</c:f>
              <c:strCache>
                <c:ptCount val="1"/>
                <c:pt idx="0">
                  <c:v>Sum of Members  - Shin Ei</c:v>
                </c:pt>
              </c:strCache>
            </c:strRef>
          </c:tx>
          <c:spPr>
            <a:solidFill>
              <a:schemeClr val="accent1">
                <a:shade val="5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Graph'!$BF$7:$BF$56</c:f>
              <c:numCache>
                <c:formatCode>General</c:formatCode>
                <c:ptCount val="49"/>
                <c:pt idx="31">
                  <c:v>60870</c:v>
                </c:pt>
              </c:numCache>
            </c:numRef>
          </c:val>
          <c:extLst>
            <c:ext xmlns:c16="http://schemas.microsoft.com/office/drawing/2014/chart" uri="{C3380CC4-5D6E-409C-BE32-E72D297353CC}">
              <c16:uniqueId val="{00000036-5D00-4FC7-A231-D9252C66D881}"/>
            </c:ext>
          </c:extLst>
        </c:ser>
        <c:ser>
          <c:idx val="57"/>
          <c:order val="57"/>
          <c:tx>
            <c:strRef>
              <c:f>'1st Graph'!$BG$4:$BG$6</c:f>
              <c:strCache>
                <c:ptCount val="1"/>
                <c:pt idx="0">
                  <c:v>Sum of Members  - Studio Pierrot</c:v>
                </c:pt>
              </c:strCache>
            </c:strRef>
          </c:tx>
          <c:spPr>
            <a:solidFill>
              <a:schemeClr val="accent1">
                <a:shade val="5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Graph'!$BG$7:$BG$56</c:f>
              <c:numCache>
                <c:formatCode>General</c:formatCode>
                <c:ptCount val="49"/>
                <c:pt idx="12">
                  <c:v>5148282</c:v>
                </c:pt>
              </c:numCache>
            </c:numRef>
          </c:val>
          <c:extLst>
            <c:ext xmlns:c16="http://schemas.microsoft.com/office/drawing/2014/chart" uri="{C3380CC4-5D6E-409C-BE32-E72D297353CC}">
              <c16:uniqueId val="{00000037-5D00-4FC7-A231-D9252C66D881}"/>
            </c:ext>
          </c:extLst>
        </c:ser>
        <c:ser>
          <c:idx val="58"/>
          <c:order val="58"/>
          <c:tx>
            <c:strRef>
              <c:f>'1st Graph'!$BH$4:$BH$6</c:f>
              <c:strCache>
                <c:ptCount val="1"/>
                <c:pt idx="0">
                  <c:v>Sum of Members  - studio Sunrise</c:v>
                </c:pt>
              </c:strCache>
            </c:strRef>
          </c:tx>
          <c:spPr>
            <a:solidFill>
              <a:schemeClr val="accent1">
                <a:shade val="5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Graph'!$BH$7:$BH$56</c:f>
              <c:numCache>
                <c:formatCode>General</c:formatCode>
                <c:ptCount val="49"/>
                <c:pt idx="34">
                  <c:v>1798685</c:v>
                </c:pt>
              </c:numCache>
            </c:numRef>
          </c:val>
          <c:extLst>
            <c:ext xmlns:c16="http://schemas.microsoft.com/office/drawing/2014/chart" uri="{C3380CC4-5D6E-409C-BE32-E72D297353CC}">
              <c16:uniqueId val="{00000038-5D00-4FC7-A231-D9252C66D881}"/>
            </c:ext>
          </c:extLst>
        </c:ser>
        <c:ser>
          <c:idx val="59"/>
          <c:order val="59"/>
          <c:tx>
            <c:strRef>
              <c:f>'1st Graph'!$BI$4:$BI$6</c:f>
              <c:strCache>
                <c:ptCount val="1"/>
                <c:pt idx="0">
                  <c:v>Sum of Members  - Sunrise </c:v>
                </c:pt>
              </c:strCache>
            </c:strRef>
          </c:tx>
          <c:spPr>
            <a:solidFill>
              <a:schemeClr val="accent1">
                <a:shade val="4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Graph'!$BI$7:$BI$56</c:f>
              <c:numCache>
                <c:formatCode>General</c:formatCode>
                <c:ptCount val="49"/>
                <c:pt idx="26">
                  <c:v>3901401</c:v>
                </c:pt>
              </c:numCache>
            </c:numRef>
          </c:val>
          <c:extLst>
            <c:ext xmlns:c16="http://schemas.microsoft.com/office/drawing/2014/chart" uri="{C3380CC4-5D6E-409C-BE32-E72D297353CC}">
              <c16:uniqueId val="{00000039-5D00-4FC7-A231-D9252C66D881}"/>
            </c:ext>
          </c:extLst>
        </c:ser>
        <c:ser>
          <c:idx val="60"/>
          <c:order val="60"/>
          <c:tx>
            <c:strRef>
              <c:f>'1st Graph'!$BJ$4:$BJ$6</c:f>
              <c:strCache>
                <c:ptCount val="1"/>
                <c:pt idx="0">
                  <c:v>Sum of Members  - TMS Entertainment V1 Studio</c:v>
                </c:pt>
              </c:strCache>
            </c:strRef>
          </c:tx>
          <c:spPr>
            <a:solidFill>
              <a:schemeClr val="accent1">
                <a:shade val="4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Graph'!$BJ$7:$BJ$56</c:f>
              <c:numCache>
                <c:formatCode>General</c:formatCode>
                <c:ptCount val="49"/>
                <c:pt idx="30">
                  <c:v>1024655</c:v>
                </c:pt>
              </c:numCache>
            </c:numRef>
          </c:val>
          <c:extLst>
            <c:ext xmlns:c16="http://schemas.microsoft.com/office/drawing/2014/chart" uri="{C3380CC4-5D6E-409C-BE32-E72D297353CC}">
              <c16:uniqueId val="{0000003A-5D00-4FC7-A231-D9252C66D881}"/>
            </c:ext>
          </c:extLst>
        </c:ser>
        <c:ser>
          <c:idx val="61"/>
          <c:order val="61"/>
          <c:tx>
            <c:strRef>
              <c:f>'1st Graph'!$BK$4:$BK$6</c:f>
              <c:strCache>
                <c:ptCount val="1"/>
                <c:pt idx="0">
                  <c:v>Sum of Members  - TMS/8PAN</c:v>
                </c:pt>
              </c:strCache>
            </c:strRef>
          </c:tx>
          <c:spPr>
            <a:solidFill>
              <a:schemeClr val="accent1">
                <a:shade val="4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Graph'!$BK$7:$BK$56</c:f>
              <c:numCache>
                <c:formatCode>General</c:formatCode>
                <c:ptCount val="49"/>
                <c:pt idx="23">
                  <c:v>1718096</c:v>
                </c:pt>
              </c:numCache>
            </c:numRef>
          </c:val>
          <c:extLst>
            <c:ext xmlns:c16="http://schemas.microsoft.com/office/drawing/2014/chart" uri="{C3380CC4-5D6E-409C-BE32-E72D297353CC}">
              <c16:uniqueId val="{0000003B-5D00-4FC7-A231-D9252C66D881}"/>
            </c:ext>
          </c:extLst>
        </c:ser>
        <c:ser>
          <c:idx val="62"/>
          <c:order val="62"/>
          <c:tx>
            <c:strRef>
              <c:f>'1st Graph'!$BL$4:$BL$6</c:f>
              <c:strCache>
                <c:ptCount val="1"/>
                <c:pt idx="0">
                  <c:v>Sum of Members  - Toei Animation</c:v>
                </c:pt>
              </c:strCache>
            </c:strRef>
          </c:tx>
          <c:spPr>
            <a:solidFill>
              <a:schemeClr val="accent1">
                <a:shade val="4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Graph'!$BL$7:$BL$56</c:f>
              <c:numCache>
                <c:formatCode>General</c:formatCode>
                <c:ptCount val="49"/>
                <c:pt idx="13">
                  <c:v>2226178</c:v>
                </c:pt>
                <c:pt idx="15">
                  <c:v>784856</c:v>
                </c:pt>
              </c:numCache>
            </c:numRef>
          </c:val>
          <c:extLst>
            <c:ext xmlns:c16="http://schemas.microsoft.com/office/drawing/2014/chart" uri="{C3380CC4-5D6E-409C-BE32-E72D297353CC}">
              <c16:uniqueId val="{0000003C-5D00-4FC7-A231-D9252C66D881}"/>
            </c:ext>
          </c:extLst>
        </c:ser>
        <c:ser>
          <c:idx val="63"/>
          <c:order val="63"/>
          <c:tx>
            <c:strRef>
              <c:f>'1st Graph'!$BM$4:$BM$6</c:f>
              <c:strCache>
                <c:ptCount val="1"/>
                <c:pt idx="0">
                  <c:v>Sum of Members  - Tokuo Movie Shinsha</c:v>
                </c:pt>
              </c:strCache>
            </c:strRef>
          </c:tx>
          <c:spPr>
            <a:solidFill>
              <a:schemeClr val="accent1">
                <a:shade val="4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Graph'!$BM$7:$BM$56</c:f>
              <c:numCache>
                <c:formatCode>General</c:formatCode>
                <c:ptCount val="49"/>
                <c:pt idx="40">
                  <c:v>38648</c:v>
                </c:pt>
              </c:numCache>
            </c:numRef>
          </c:val>
          <c:extLst>
            <c:ext xmlns:c16="http://schemas.microsoft.com/office/drawing/2014/chart" uri="{C3380CC4-5D6E-409C-BE32-E72D297353CC}">
              <c16:uniqueId val="{0000003D-5D00-4FC7-A231-D9252C66D881}"/>
            </c:ext>
          </c:extLst>
        </c:ser>
        <c:ser>
          <c:idx val="64"/>
          <c:order val="64"/>
          <c:tx>
            <c:strRef>
              <c:f>'1st Graph'!$BN$4:$BN$6</c:f>
              <c:strCache>
                <c:ptCount val="1"/>
                <c:pt idx="0">
                  <c:v>Sum of Members  - Ufotable</c:v>
                </c:pt>
              </c:strCache>
            </c:strRef>
          </c:tx>
          <c:spPr>
            <a:solidFill>
              <a:schemeClr val="accent1">
                <a:shade val="3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Graph'!$BN$7:$BN$56</c:f>
              <c:numCache>
                <c:formatCode>General</c:formatCode>
                <c:ptCount val="49"/>
                <c:pt idx="46">
                  <c:v>5529454</c:v>
                </c:pt>
              </c:numCache>
            </c:numRef>
          </c:val>
          <c:extLst>
            <c:ext xmlns:c16="http://schemas.microsoft.com/office/drawing/2014/chart" uri="{C3380CC4-5D6E-409C-BE32-E72D297353CC}">
              <c16:uniqueId val="{0000003E-5D00-4FC7-A231-D9252C66D881}"/>
            </c:ext>
          </c:extLst>
        </c:ser>
        <c:ser>
          <c:idx val="65"/>
          <c:order val="65"/>
          <c:tx>
            <c:strRef>
              <c:f>'1st Graph'!$BO$4:$BO$6</c:f>
              <c:strCache>
                <c:ptCount val="1"/>
                <c:pt idx="0">
                  <c:v>Sum of Members  - White Fox</c:v>
                </c:pt>
              </c:strCache>
            </c:strRef>
          </c:tx>
          <c:spPr>
            <a:solidFill>
              <a:schemeClr val="accent1">
                <a:shade val="3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Graph'!$BO$7:$BO$56</c:f>
              <c:numCache>
                <c:formatCode>General</c:formatCode>
                <c:ptCount val="49"/>
                <c:pt idx="16">
                  <c:v>3318180</c:v>
                </c:pt>
              </c:numCache>
            </c:numRef>
          </c:val>
          <c:extLst>
            <c:ext xmlns:c16="http://schemas.microsoft.com/office/drawing/2014/chart" uri="{C3380CC4-5D6E-409C-BE32-E72D297353CC}">
              <c16:uniqueId val="{0000003F-5D00-4FC7-A231-D9252C66D881}"/>
            </c:ext>
          </c:extLst>
        </c:ser>
        <c:ser>
          <c:idx val="66"/>
          <c:order val="66"/>
          <c:tx>
            <c:strRef>
              <c:f>'1st Graph'!$BP$4:$BP$6</c:f>
              <c:strCache>
                <c:ptCount val="1"/>
                <c:pt idx="0">
                  <c:v>Sum of Members  - Wit Studio</c:v>
                </c:pt>
              </c:strCache>
            </c:strRef>
          </c:tx>
          <c:spPr>
            <a:solidFill>
              <a:schemeClr val="accent1">
                <a:shade val="3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Graph'!$BP$7:$BP$56</c:f>
              <c:numCache>
                <c:formatCode>General</c:formatCode>
                <c:ptCount val="49"/>
                <c:pt idx="19">
                  <c:v>9063670</c:v>
                </c:pt>
                <c:pt idx="43">
                  <c:v>2061201</c:v>
                </c:pt>
                <c:pt idx="47">
                  <c:v>1906217</c:v>
                </c:pt>
              </c:numCache>
            </c:numRef>
          </c:val>
          <c:extLst>
            <c:ext xmlns:c16="http://schemas.microsoft.com/office/drawing/2014/chart" uri="{C3380CC4-5D6E-409C-BE32-E72D297353CC}">
              <c16:uniqueId val="{00000040-5D00-4FC7-A231-D9252C66D881}"/>
            </c:ext>
          </c:extLst>
        </c:ser>
        <c:ser>
          <c:idx val="67"/>
          <c:order val="67"/>
          <c:tx>
            <c:strRef>
              <c:f>'1st Graph'!$BQ$4:$BQ$6</c:f>
              <c:strCache>
                <c:ptCount val="1"/>
                <c:pt idx="0">
                  <c:v>Sum of Members  - Wit Studio and CloverWorks</c:v>
                </c:pt>
              </c:strCache>
            </c:strRef>
          </c:tx>
          <c:spPr>
            <a:solidFill>
              <a:schemeClr val="accent1">
                <a:shade val="3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Graph'!$BQ$7:$BQ$56</c:f>
              <c:numCache>
                <c:formatCode>General</c:formatCode>
                <c:ptCount val="49"/>
                <c:pt idx="27">
                  <c:v>868974</c:v>
                </c:pt>
              </c:numCache>
            </c:numRef>
          </c:val>
          <c:extLst>
            <c:ext xmlns:c16="http://schemas.microsoft.com/office/drawing/2014/chart" uri="{C3380CC4-5D6E-409C-BE32-E72D297353CC}">
              <c16:uniqueId val="{00000041-5D00-4FC7-A231-D9252C66D881}"/>
            </c:ext>
          </c:extLst>
        </c:ser>
        <c:dLbls>
          <c:showLegendKey val="0"/>
          <c:showVal val="0"/>
          <c:showCatName val="0"/>
          <c:showSerName val="0"/>
          <c:showPercent val="0"/>
          <c:showBubbleSize val="0"/>
        </c:dLbls>
        <c:gapWidth val="150"/>
        <c:overlap val="100"/>
        <c:axId val="955451384"/>
        <c:axId val="955449584"/>
      </c:barChart>
      <c:catAx>
        <c:axId val="955451384"/>
        <c:scaling>
          <c:orientation val="minMax"/>
        </c:scaling>
        <c:delete val="0"/>
        <c:axPos val="b"/>
        <c:title>
          <c:tx>
            <c:rich>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r>
                  <a:rPr lang="en-US" sz="1100" b="1">
                    <a:solidFill>
                      <a:srgbClr val="002060"/>
                    </a:solidFill>
                  </a:rPr>
                  <a:t>Titles</a:t>
                </a:r>
              </a:p>
            </c:rich>
          </c:tx>
          <c:layout>
            <c:manualLayout>
              <c:xMode val="edge"/>
              <c:yMode val="edge"/>
              <c:x val="0.47174520283410171"/>
              <c:y val="0.87430399821930382"/>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solidFill>
            <a:srgbClr val="DCF1F4"/>
          </a:solid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rgbClr val="1A4B52"/>
                </a:solidFill>
                <a:latin typeface="+mj-lt"/>
                <a:ea typeface="+mn-ea"/>
                <a:cs typeface="+mn-cs"/>
              </a:defRPr>
            </a:pPr>
            <a:endParaRPr lang="en-US"/>
          </a:p>
        </c:txPr>
        <c:crossAx val="955449584"/>
        <c:crosses val="autoZero"/>
        <c:auto val="1"/>
        <c:lblAlgn val="l"/>
        <c:lblOffset val="100"/>
        <c:noMultiLvlLbl val="0"/>
      </c:catAx>
      <c:valAx>
        <c:axId val="95544958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 Score &amp; Members</a:t>
                </a:r>
              </a:p>
            </c:rich>
          </c:tx>
          <c:layout>
            <c:manualLayout>
              <c:xMode val="edge"/>
              <c:yMode val="edge"/>
              <c:x val="1.1748187833909076E-2"/>
              <c:y val="0.2968393513917556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A4B52"/>
                </a:solidFill>
                <a:latin typeface="+mn-lt"/>
                <a:ea typeface="+mn-ea"/>
                <a:cs typeface="+mn-cs"/>
              </a:defRPr>
            </a:pPr>
            <a:endParaRPr lang="en-US"/>
          </a:p>
        </c:txPr>
        <c:crossAx val="95545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solidFill>
            <a:srgbClr val="1A4B5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.xlsx]3rd Graph!PivotTable2</c:name>
    <c:fmtId val="17"/>
  </c:pivotSource>
  <c:chart>
    <c:title>
      <c:tx>
        <c:rich>
          <a:bodyPr rot="0" spcFirstLastPara="1" vertOverflow="ellipsis" vert="horz" wrap="square" anchor="ctr" anchorCtr="1"/>
          <a:lstStyle/>
          <a:p>
            <a:pPr>
              <a:defRPr sz="1600" b="1" i="0" u="none" strike="noStrike" kern="1200" spc="0" baseline="0">
                <a:solidFill>
                  <a:srgbClr val="1A4B52"/>
                </a:solidFill>
                <a:latin typeface="+mn-lt"/>
                <a:ea typeface="+mn-ea"/>
                <a:cs typeface="+mn-cs"/>
              </a:defRPr>
            </a:pPr>
            <a:r>
              <a:rPr lang="en-US" sz="1600" b="1">
                <a:solidFill>
                  <a:srgbClr val="1A4B52"/>
                </a:solidFill>
              </a:rPr>
              <a:t>Anime</a:t>
            </a:r>
            <a:r>
              <a:rPr lang="en-US" sz="1600" b="1" baseline="0">
                <a:solidFill>
                  <a:srgbClr val="1A4B52"/>
                </a:solidFill>
              </a:rPr>
              <a:t> with the most selling Manga </a:t>
            </a:r>
            <a:endParaRPr lang="en-US" sz="1600" b="1">
              <a:solidFill>
                <a:srgbClr val="1A4B52"/>
              </a:solidFill>
            </a:endParaRPr>
          </a:p>
        </c:rich>
      </c:tx>
      <c:layout>
        <c:manualLayout>
          <c:xMode val="edge"/>
          <c:yMode val="edge"/>
          <c:x val="0.26808467001595376"/>
          <c:y val="2.040482649598263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1A4B5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ln w="28575" cap="rnd">
            <a:solidFill>
              <a:schemeClr val="accent6">
                <a:lumMod val="75000"/>
              </a:schemeClr>
            </a:solidFill>
            <a:round/>
          </a:ln>
          <a:effectLst/>
        </c:spPr>
        <c:marker>
          <c:symbol val="none"/>
        </c:marker>
      </c:pivotFmt>
    </c:pivotFmts>
    <c:plotArea>
      <c:layout>
        <c:manualLayout>
          <c:layoutTarget val="inner"/>
          <c:xMode val="edge"/>
          <c:yMode val="edge"/>
          <c:x val="8.6557547465277551E-2"/>
          <c:y val="0.1419355713515191"/>
          <c:w val="0.88740601902306426"/>
          <c:h val="0.5588993916310856"/>
        </c:manualLayout>
      </c:layout>
      <c:lineChart>
        <c:grouping val="stacked"/>
        <c:varyColors val="0"/>
        <c:ser>
          <c:idx val="0"/>
          <c:order val="0"/>
          <c:tx>
            <c:strRef>
              <c:f>'3rd Graph'!$B$3</c:f>
              <c:strCache>
                <c:ptCount val="1"/>
                <c:pt idx="0">
                  <c:v>Sum of Ranks</c:v>
                </c:pt>
              </c:strCache>
            </c:strRef>
          </c:tx>
          <c:spPr>
            <a:ln w="28575" cap="rnd">
              <a:solidFill>
                <a:schemeClr val="accent1"/>
              </a:solidFill>
              <a:round/>
            </a:ln>
            <a:effectLst/>
          </c:spPr>
          <c:marker>
            <c:symbol val="none"/>
          </c:marker>
          <c:cat>
            <c:strRef>
              <c:f>'3rd Graph'!$A$4:$A$53</c:f>
              <c:strCache>
                <c:ptCount val="49"/>
                <c:pt idx="0">
                  <c:v>Akatsuki No Yona</c:v>
                </c:pt>
                <c:pt idx="1">
                  <c:v>Assassination Classroom</c:v>
                </c:pt>
                <c:pt idx="2">
                  <c:v>Berserk</c:v>
                </c:pt>
                <c:pt idx="3">
                  <c:v>Black Butler</c:v>
                </c:pt>
                <c:pt idx="4">
                  <c:v>Bleach</c:v>
                </c:pt>
                <c:pt idx="5">
                  <c:v>Blue Lock</c:v>
                </c:pt>
                <c:pt idx="6">
                  <c:v>Buddy Daddies</c:v>
                </c:pt>
                <c:pt idx="7">
                  <c:v>Clannad</c:v>
                </c:pt>
                <c:pt idx="8">
                  <c:v>Code Geass</c:v>
                </c:pt>
                <c:pt idx="9">
                  <c:v>Cowboy Bebop</c:v>
                </c:pt>
                <c:pt idx="10">
                  <c:v>Death Note</c:v>
                </c:pt>
                <c:pt idx="11">
                  <c:v>Demon Slayer </c:v>
                </c:pt>
                <c:pt idx="12">
                  <c:v>Doraemon</c:v>
                </c:pt>
                <c:pt idx="13">
                  <c:v>Fire Force</c:v>
                </c:pt>
                <c:pt idx="14">
                  <c:v>Food war</c:v>
                </c:pt>
                <c:pt idx="15">
                  <c:v>Fruits Basket</c:v>
                </c:pt>
                <c:pt idx="16">
                  <c:v>Fullmetal Alchemist</c:v>
                </c:pt>
                <c:pt idx="17">
                  <c:v>Gatsu no Lion</c:v>
                </c:pt>
                <c:pt idx="18">
                  <c:v>Gintama</c:v>
                </c:pt>
                <c:pt idx="19">
                  <c:v>Glass Mask</c:v>
                </c:pt>
                <c:pt idx="20">
                  <c:v>Haikyuu</c:v>
                </c:pt>
                <c:pt idx="21">
                  <c:v>Horimiya</c:v>
                </c:pt>
                <c:pt idx="22">
                  <c:v>Hunter X Hunter</c:v>
                </c:pt>
                <c:pt idx="23">
                  <c:v>Jujutsu Kaisen</c:v>
                </c:pt>
                <c:pt idx="24">
                  <c:v>Kaguya-sama</c:v>
                </c:pt>
                <c:pt idx="25">
                  <c:v>Kamisama Kiss</c:v>
                </c:pt>
                <c:pt idx="26">
                  <c:v>Kingdom</c:v>
                </c:pt>
                <c:pt idx="27">
                  <c:v>Kono oto tomare</c:v>
                </c:pt>
                <c:pt idx="28">
                  <c:v>Made in Abyss</c:v>
                </c:pt>
                <c:pt idx="29">
                  <c:v>Maid Sama</c:v>
                </c:pt>
                <c:pt idx="30">
                  <c:v>Mob Psycho</c:v>
                </c:pt>
                <c:pt idx="31">
                  <c:v>Monogatari</c:v>
                </c:pt>
                <c:pt idx="32">
                  <c:v>Monster</c:v>
                </c:pt>
                <c:pt idx="33">
                  <c:v>My Hero Academia</c:v>
                </c:pt>
                <c:pt idx="34">
                  <c:v>Naruto</c:v>
                </c:pt>
                <c:pt idx="35">
                  <c:v>One Piece</c:v>
                </c:pt>
                <c:pt idx="36">
                  <c:v>One puch man</c:v>
                </c:pt>
                <c:pt idx="37">
                  <c:v>Rurouni Kenshin</c:v>
                </c:pt>
                <c:pt idx="38">
                  <c:v>Sailor Moon</c:v>
                </c:pt>
                <c:pt idx="39">
                  <c:v>Seraph Of the End</c:v>
                </c:pt>
                <c:pt idx="40">
                  <c:v>Shingeki no Kyojin</c:v>
                </c:pt>
                <c:pt idx="41">
                  <c:v>Shouwa Genroku Rakugo Shinjuu    </c:v>
                </c:pt>
                <c:pt idx="42">
                  <c:v>Spy X Family</c:v>
                </c:pt>
                <c:pt idx="43">
                  <c:v>Steins Gate</c:v>
                </c:pt>
                <c:pt idx="44">
                  <c:v>The Case of Vanitas</c:v>
                </c:pt>
                <c:pt idx="45">
                  <c:v>The Millionaire Detective</c:v>
                </c:pt>
                <c:pt idx="46">
                  <c:v>Tokyo Revengers</c:v>
                </c:pt>
                <c:pt idx="47">
                  <c:v>Vinland Saga</c:v>
                </c:pt>
                <c:pt idx="48">
                  <c:v>Wotakoi</c:v>
                </c:pt>
              </c:strCache>
            </c:strRef>
          </c:cat>
          <c:val>
            <c:numRef>
              <c:f>'3rd Graph'!$B$4:$B$53</c:f>
              <c:numCache>
                <c:formatCode>General</c:formatCode>
                <c:ptCount val="49"/>
                <c:pt idx="0">
                  <c:v>558</c:v>
                </c:pt>
                <c:pt idx="1">
                  <c:v>307</c:v>
                </c:pt>
                <c:pt idx="2">
                  <c:v>3698</c:v>
                </c:pt>
                <c:pt idx="3">
                  <c:v>2358</c:v>
                </c:pt>
                <c:pt idx="4">
                  <c:v>685</c:v>
                </c:pt>
                <c:pt idx="5">
                  <c:v>230</c:v>
                </c:pt>
                <c:pt idx="6">
                  <c:v>413</c:v>
                </c:pt>
                <c:pt idx="7">
                  <c:v>308</c:v>
                </c:pt>
                <c:pt idx="8">
                  <c:v>37</c:v>
                </c:pt>
                <c:pt idx="9">
                  <c:v>44</c:v>
                </c:pt>
                <c:pt idx="10">
                  <c:v>75</c:v>
                </c:pt>
                <c:pt idx="11">
                  <c:v>142</c:v>
                </c:pt>
                <c:pt idx="12">
                  <c:v>910</c:v>
                </c:pt>
                <c:pt idx="13">
                  <c:v>1145</c:v>
                </c:pt>
                <c:pt idx="14">
                  <c:v>774</c:v>
                </c:pt>
                <c:pt idx="15">
                  <c:v>144</c:v>
                </c:pt>
                <c:pt idx="16">
                  <c:v>452</c:v>
                </c:pt>
                <c:pt idx="17">
                  <c:v>101</c:v>
                </c:pt>
                <c:pt idx="18">
                  <c:v>29</c:v>
                </c:pt>
                <c:pt idx="19">
                  <c:v>431</c:v>
                </c:pt>
                <c:pt idx="20">
                  <c:v>153</c:v>
                </c:pt>
                <c:pt idx="21">
                  <c:v>351</c:v>
                </c:pt>
                <c:pt idx="22">
                  <c:v>8</c:v>
                </c:pt>
                <c:pt idx="23">
                  <c:v>51</c:v>
                </c:pt>
                <c:pt idx="24">
                  <c:v>84</c:v>
                </c:pt>
                <c:pt idx="25">
                  <c:v>399</c:v>
                </c:pt>
                <c:pt idx="26">
                  <c:v>253</c:v>
                </c:pt>
                <c:pt idx="27">
                  <c:v>427</c:v>
                </c:pt>
                <c:pt idx="28">
                  <c:v>67</c:v>
                </c:pt>
                <c:pt idx="29">
                  <c:v>586</c:v>
                </c:pt>
                <c:pt idx="30">
                  <c:v>71</c:v>
                </c:pt>
                <c:pt idx="31">
                  <c:v>1498</c:v>
                </c:pt>
                <c:pt idx="32">
                  <c:v>25</c:v>
                </c:pt>
                <c:pt idx="33">
                  <c:v>826</c:v>
                </c:pt>
                <c:pt idx="34">
                  <c:v>449</c:v>
                </c:pt>
                <c:pt idx="35">
                  <c:v>55</c:v>
                </c:pt>
                <c:pt idx="36">
                  <c:v>950</c:v>
                </c:pt>
                <c:pt idx="37">
                  <c:v>258</c:v>
                </c:pt>
                <c:pt idx="38">
                  <c:v>1070</c:v>
                </c:pt>
                <c:pt idx="39">
                  <c:v>1578</c:v>
                </c:pt>
                <c:pt idx="40">
                  <c:v>58</c:v>
                </c:pt>
                <c:pt idx="41">
                  <c:v>72</c:v>
                </c:pt>
                <c:pt idx="42">
                  <c:v>169</c:v>
                </c:pt>
                <c:pt idx="43">
                  <c:v>2</c:v>
                </c:pt>
                <c:pt idx="44">
                  <c:v>529</c:v>
                </c:pt>
                <c:pt idx="45">
                  <c:v>1660</c:v>
                </c:pt>
                <c:pt idx="46">
                  <c:v>909</c:v>
                </c:pt>
                <c:pt idx="47">
                  <c:v>38</c:v>
                </c:pt>
                <c:pt idx="48">
                  <c:v>682</c:v>
                </c:pt>
              </c:numCache>
            </c:numRef>
          </c:val>
          <c:smooth val="0"/>
          <c:extLst>
            <c:ext xmlns:c16="http://schemas.microsoft.com/office/drawing/2014/chart" uri="{C3380CC4-5D6E-409C-BE32-E72D297353CC}">
              <c16:uniqueId val="{00000000-9FAC-48B2-A5D5-4F6E0AEE7229}"/>
            </c:ext>
          </c:extLst>
        </c:ser>
        <c:ser>
          <c:idx val="1"/>
          <c:order val="1"/>
          <c:tx>
            <c:strRef>
              <c:f>'3rd Graph'!$C$3</c:f>
              <c:strCache>
                <c:ptCount val="1"/>
                <c:pt idx="0">
                  <c:v>Count of Approximate copies Sold</c:v>
                </c:pt>
              </c:strCache>
            </c:strRef>
          </c:tx>
          <c:spPr>
            <a:ln w="28575" cap="rnd">
              <a:solidFill>
                <a:schemeClr val="accent6">
                  <a:lumMod val="75000"/>
                </a:schemeClr>
              </a:solidFill>
              <a:round/>
            </a:ln>
            <a:effectLst/>
          </c:spPr>
          <c:marker>
            <c:symbol val="none"/>
          </c:marker>
          <c:cat>
            <c:strRef>
              <c:f>'3rd Graph'!$A$4:$A$53</c:f>
              <c:strCache>
                <c:ptCount val="49"/>
                <c:pt idx="0">
                  <c:v>Akatsuki No Yona</c:v>
                </c:pt>
                <c:pt idx="1">
                  <c:v>Assassination Classroom</c:v>
                </c:pt>
                <c:pt idx="2">
                  <c:v>Berserk</c:v>
                </c:pt>
                <c:pt idx="3">
                  <c:v>Black Butler</c:v>
                </c:pt>
                <c:pt idx="4">
                  <c:v>Bleach</c:v>
                </c:pt>
                <c:pt idx="5">
                  <c:v>Blue Lock</c:v>
                </c:pt>
                <c:pt idx="6">
                  <c:v>Buddy Daddies</c:v>
                </c:pt>
                <c:pt idx="7">
                  <c:v>Clannad</c:v>
                </c:pt>
                <c:pt idx="8">
                  <c:v>Code Geass</c:v>
                </c:pt>
                <c:pt idx="9">
                  <c:v>Cowboy Bebop</c:v>
                </c:pt>
                <c:pt idx="10">
                  <c:v>Death Note</c:v>
                </c:pt>
                <c:pt idx="11">
                  <c:v>Demon Slayer </c:v>
                </c:pt>
                <c:pt idx="12">
                  <c:v>Doraemon</c:v>
                </c:pt>
                <c:pt idx="13">
                  <c:v>Fire Force</c:v>
                </c:pt>
                <c:pt idx="14">
                  <c:v>Food war</c:v>
                </c:pt>
                <c:pt idx="15">
                  <c:v>Fruits Basket</c:v>
                </c:pt>
                <c:pt idx="16">
                  <c:v>Fullmetal Alchemist</c:v>
                </c:pt>
                <c:pt idx="17">
                  <c:v>Gatsu no Lion</c:v>
                </c:pt>
                <c:pt idx="18">
                  <c:v>Gintama</c:v>
                </c:pt>
                <c:pt idx="19">
                  <c:v>Glass Mask</c:v>
                </c:pt>
                <c:pt idx="20">
                  <c:v>Haikyuu</c:v>
                </c:pt>
                <c:pt idx="21">
                  <c:v>Horimiya</c:v>
                </c:pt>
                <c:pt idx="22">
                  <c:v>Hunter X Hunter</c:v>
                </c:pt>
                <c:pt idx="23">
                  <c:v>Jujutsu Kaisen</c:v>
                </c:pt>
                <c:pt idx="24">
                  <c:v>Kaguya-sama</c:v>
                </c:pt>
                <c:pt idx="25">
                  <c:v>Kamisama Kiss</c:v>
                </c:pt>
                <c:pt idx="26">
                  <c:v>Kingdom</c:v>
                </c:pt>
                <c:pt idx="27">
                  <c:v>Kono oto tomare</c:v>
                </c:pt>
                <c:pt idx="28">
                  <c:v>Made in Abyss</c:v>
                </c:pt>
                <c:pt idx="29">
                  <c:v>Maid Sama</c:v>
                </c:pt>
                <c:pt idx="30">
                  <c:v>Mob Psycho</c:v>
                </c:pt>
                <c:pt idx="31">
                  <c:v>Monogatari</c:v>
                </c:pt>
                <c:pt idx="32">
                  <c:v>Monster</c:v>
                </c:pt>
                <c:pt idx="33">
                  <c:v>My Hero Academia</c:v>
                </c:pt>
                <c:pt idx="34">
                  <c:v>Naruto</c:v>
                </c:pt>
                <c:pt idx="35">
                  <c:v>One Piece</c:v>
                </c:pt>
                <c:pt idx="36">
                  <c:v>One puch man</c:v>
                </c:pt>
                <c:pt idx="37">
                  <c:v>Rurouni Kenshin</c:v>
                </c:pt>
                <c:pt idx="38">
                  <c:v>Sailor Moon</c:v>
                </c:pt>
                <c:pt idx="39">
                  <c:v>Seraph Of the End</c:v>
                </c:pt>
                <c:pt idx="40">
                  <c:v>Shingeki no Kyojin</c:v>
                </c:pt>
                <c:pt idx="41">
                  <c:v>Shouwa Genroku Rakugo Shinjuu    </c:v>
                </c:pt>
                <c:pt idx="42">
                  <c:v>Spy X Family</c:v>
                </c:pt>
                <c:pt idx="43">
                  <c:v>Steins Gate</c:v>
                </c:pt>
                <c:pt idx="44">
                  <c:v>The Case of Vanitas</c:v>
                </c:pt>
                <c:pt idx="45">
                  <c:v>The Millionaire Detective</c:v>
                </c:pt>
                <c:pt idx="46">
                  <c:v>Tokyo Revengers</c:v>
                </c:pt>
                <c:pt idx="47">
                  <c:v>Vinland Saga</c:v>
                </c:pt>
                <c:pt idx="48">
                  <c:v>Wotakoi</c:v>
                </c:pt>
              </c:strCache>
            </c:strRef>
          </c:cat>
          <c:val>
            <c:numRef>
              <c:f>'3rd Graph'!$C$4:$C$53</c:f>
              <c:numCache>
                <c:formatCode>General</c:formatCode>
                <c:ptCount val="4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numCache>
            </c:numRef>
          </c:val>
          <c:smooth val="0"/>
          <c:extLst>
            <c:ext xmlns:c16="http://schemas.microsoft.com/office/drawing/2014/chart" uri="{C3380CC4-5D6E-409C-BE32-E72D297353CC}">
              <c16:uniqueId val="{00000001-9FAC-48B2-A5D5-4F6E0AEE7229}"/>
            </c:ext>
          </c:extLst>
        </c:ser>
        <c:dLbls>
          <c:showLegendKey val="0"/>
          <c:showVal val="0"/>
          <c:showCatName val="0"/>
          <c:showSerName val="0"/>
          <c:showPercent val="0"/>
          <c:showBubbleSize val="0"/>
        </c:dLbls>
        <c:smooth val="0"/>
        <c:axId val="669324816"/>
        <c:axId val="669323376"/>
      </c:lineChart>
      <c:catAx>
        <c:axId val="66932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A4B52"/>
                </a:solidFill>
                <a:latin typeface="+mn-lt"/>
                <a:ea typeface="+mn-ea"/>
                <a:cs typeface="+mn-cs"/>
              </a:defRPr>
            </a:pPr>
            <a:endParaRPr lang="en-US"/>
          </a:p>
        </c:txPr>
        <c:crossAx val="669323376"/>
        <c:crosses val="autoZero"/>
        <c:auto val="1"/>
        <c:lblAlgn val="ctr"/>
        <c:lblOffset val="100"/>
        <c:noMultiLvlLbl val="0"/>
      </c:catAx>
      <c:valAx>
        <c:axId val="66932337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50" b="1" i="0" u="none" strike="noStrike" kern="1200" baseline="0">
                    <a:solidFill>
                      <a:srgbClr val="1A4B52"/>
                    </a:solidFill>
                    <a:latin typeface="+mn-lt"/>
                    <a:ea typeface="+mn-ea"/>
                    <a:cs typeface="+mn-cs"/>
                  </a:defRPr>
                </a:pPr>
                <a:r>
                  <a:rPr lang="en-US" sz="1050" b="1">
                    <a:solidFill>
                      <a:srgbClr val="1A4B52"/>
                    </a:solidFill>
                  </a:rPr>
                  <a:t>Sum of Ranks</a:t>
                </a:r>
                <a:r>
                  <a:rPr lang="en-US" sz="1050" b="1" baseline="0">
                    <a:solidFill>
                      <a:srgbClr val="1A4B52"/>
                    </a:solidFill>
                  </a:rPr>
                  <a:t> &amp; Sales</a:t>
                </a:r>
                <a:endParaRPr lang="en-US" sz="1050" b="1">
                  <a:solidFill>
                    <a:srgbClr val="1A4B52"/>
                  </a:solidFill>
                </a:endParaRPr>
              </a:p>
            </c:rich>
          </c:tx>
          <c:layout>
            <c:manualLayout>
              <c:xMode val="edge"/>
              <c:yMode val="edge"/>
              <c:x val="1.2309683031719847E-2"/>
              <c:y val="0.1998288491612705"/>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rgbClr val="1A4B5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A4B52"/>
                </a:solidFill>
                <a:latin typeface="+mn-lt"/>
                <a:ea typeface="+mn-ea"/>
                <a:cs typeface="+mn-cs"/>
              </a:defRPr>
            </a:pPr>
            <a:endParaRPr lang="en-US"/>
          </a:p>
        </c:txPr>
        <c:crossAx val="669324816"/>
        <c:crosses val="autoZero"/>
        <c:crossBetween val="between"/>
      </c:valAx>
      <c:spPr>
        <a:solidFill>
          <a:srgbClr val="DCF1F4"/>
        </a:solidFill>
        <a:ln>
          <a:noFill/>
        </a:ln>
        <a:effectLst/>
      </c:spPr>
    </c:plotArea>
    <c:legend>
      <c:legendPos val="t"/>
      <c:legendEntry>
        <c:idx val="0"/>
        <c:delete val="1"/>
      </c:legendEntry>
      <c:layout>
        <c:manualLayout>
          <c:xMode val="edge"/>
          <c:yMode val="edge"/>
          <c:x val="0.70016871292934713"/>
          <c:y val="4.6265868364515128E-2"/>
          <c:w val="0.29908046910069647"/>
          <c:h val="6.9199478110470641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A4B5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.xlsx]4th Graph!PivotTable4</c:name>
    <c:fmtId val="2"/>
  </c:pivotSource>
  <c:chart>
    <c:title>
      <c:tx>
        <c:rich>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r>
              <a:rPr lang="en-US" sz="1400" b="1">
                <a:solidFill>
                  <a:srgbClr val="1A4B52"/>
                </a:solidFill>
              </a:rPr>
              <a:t>Sum of all Movies</a:t>
            </a:r>
          </a:p>
        </c:rich>
      </c:tx>
      <c:layout>
        <c:manualLayout>
          <c:xMode val="edge"/>
          <c:yMode val="edge"/>
          <c:x val="0.32147900262467194"/>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69816272965886E-2"/>
          <c:y val="0.15782407407407409"/>
          <c:w val="0.72363079615048109"/>
          <c:h val="0.61413568095654714"/>
        </c:manualLayout>
      </c:layout>
      <c:barChart>
        <c:barDir val="col"/>
        <c:grouping val="clustered"/>
        <c:varyColors val="0"/>
        <c:ser>
          <c:idx val="0"/>
          <c:order val="0"/>
          <c:tx>
            <c:strRef>
              <c:f>'4th Graph'!$B$3</c:f>
              <c:strCache>
                <c:ptCount val="1"/>
                <c:pt idx="0">
                  <c:v>Sum of Animated Movies</c:v>
                </c:pt>
              </c:strCache>
            </c:strRef>
          </c:tx>
          <c:spPr>
            <a:solidFill>
              <a:schemeClr val="accent6">
                <a:lumMod val="60000"/>
                <a:lumOff val="40000"/>
              </a:schemeClr>
            </a:solidFill>
            <a:ln>
              <a:noFill/>
            </a:ln>
            <a:effectLst/>
          </c:spPr>
          <c:invertIfNegative val="0"/>
          <c:cat>
            <c:strRef>
              <c:f>'4th Graph'!$A$4:$A$7</c:f>
              <c:strCache>
                <c:ptCount val="3"/>
                <c:pt idx="0">
                  <c:v>Finished</c:v>
                </c:pt>
                <c:pt idx="1">
                  <c:v>No Updates </c:v>
                </c:pt>
                <c:pt idx="2">
                  <c:v>Ongoing </c:v>
                </c:pt>
              </c:strCache>
            </c:strRef>
          </c:cat>
          <c:val>
            <c:numRef>
              <c:f>'4th Graph'!$B$4:$B$7</c:f>
              <c:numCache>
                <c:formatCode>General</c:formatCode>
                <c:ptCount val="3"/>
                <c:pt idx="0">
                  <c:v>74</c:v>
                </c:pt>
                <c:pt idx="1">
                  <c:v>4</c:v>
                </c:pt>
                <c:pt idx="2">
                  <c:v>43</c:v>
                </c:pt>
              </c:numCache>
            </c:numRef>
          </c:val>
          <c:extLst>
            <c:ext xmlns:c16="http://schemas.microsoft.com/office/drawing/2014/chart" uri="{C3380CC4-5D6E-409C-BE32-E72D297353CC}">
              <c16:uniqueId val="{00000000-11B9-4F3A-BC33-3EB0DB0099A4}"/>
            </c:ext>
          </c:extLst>
        </c:ser>
        <c:ser>
          <c:idx val="1"/>
          <c:order val="1"/>
          <c:tx>
            <c:strRef>
              <c:f>'4th Graph'!$C$3</c:f>
              <c:strCache>
                <c:ptCount val="1"/>
                <c:pt idx="0">
                  <c:v>Count of Movie Score </c:v>
                </c:pt>
              </c:strCache>
            </c:strRef>
          </c:tx>
          <c:spPr>
            <a:solidFill>
              <a:schemeClr val="accent6">
                <a:lumMod val="75000"/>
              </a:schemeClr>
            </a:solidFill>
            <a:ln>
              <a:noFill/>
            </a:ln>
            <a:effectLst/>
          </c:spPr>
          <c:invertIfNegative val="0"/>
          <c:cat>
            <c:strRef>
              <c:f>'4th Graph'!$A$4:$A$7</c:f>
              <c:strCache>
                <c:ptCount val="3"/>
                <c:pt idx="0">
                  <c:v>Finished</c:v>
                </c:pt>
                <c:pt idx="1">
                  <c:v>No Updates </c:v>
                </c:pt>
                <c:pt idx="2">
                  <c:v>Ongoing </c:v>
                </c:pt>
              </c:strCache>
            </c:strRef>
          </c:cat>
          <c:val>
            <c:numRef>
              <c:f>'4th Graph'!$C$4:$C$7</c:f>
              <c:numCache>
                <c:formatCode>General</c:formatCode>
                <c:ptCount val="3"/>
                <c:pt idx="0">
                  <c:v>23</c:v>
                </c:pt>
                <c:pt idx="1">
                  <c:v>6</c:v>
                </c:pt>
                <c:pt idx="2">
                  <c:v>20</c:v>
                </c:pt>
              </c:numCache>
            </c:numRef>
          </c:val>
          <c:extLst>
            <c:ext xmlns:c16="http://schemas.microsoft.com/office/drawing/2014/chart" uri="{C3380CC4-5D6E-409C-BE32-E72D297353CC}">
              <c16:uniqueId val="{00000001-11B9-4F3A-BC33-3EB0DB0099A4}"/>
            </c:ext>
          </c:extLst>
        </c:ser>
        <c:dLbls>
          <c:showLegendKey val="0"/>
          <c:showVal val="0"/>
          <c:showCatName val="0"/>
          <c:showSerName val="0"/>
          <c:showPercent val="0"/>
          <c:showBubbleSize val="0"/>
        </c:dLbls>
        <c:gapWidth val="219"/>
        <c:overlap val="-27"/>
        <c:axId val="1003879688"/>
        <c:axId val="1003881488"/>
      </c:barChart>
      <c:catAx>
        <c:axId val="100387968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solidFill>
                      <a:srgbClr val="002060"/>
                    </a:solidFill>
                  </a:rPr>
                  <a:t>Anime Status </a:t>
                </a:r>
              </a:p>
            </c:rich>
          </c:tx>
          <c:layout>
            <c:manualLayout>
              <c:xMode val="edge"/>
              <c:yMode val="edge"/>
              <c:x val="0.4008405511811023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003881488"/>
        <c:crosses val="autoZero"/>
        <c:auto val="1"/>
        <c:lblAlgn val="ctr"/>
        <c:lblOffset val="100"/>
        <c:noMultiLvlLbl val="0"/>
      </c:catAx>
      <c:valAx>
        <c:axId val="1003881488"/>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003879688"/>
        <c:crosses val="autoZero"/>
        <c:crossBetween val="between"/>
      </c:valAx>
      <c:spPr>
        <a:noFill/>
        <a:ln>
          <a:noFill/>
        </a:ln>
        <a:effectLst/>
      </c:spPr>
    </c:plotArea>
    <c:legend>
      <c:legendPos val="r"/>
      <c:layout>
        <c:manualLayout>
          <c:xMode val="edge"/>
          <c:yMode val="edge"/>
          <c:x val="0.78735039370078741"/>
          <c:y val="0.33508165645960919"/>
          <c:w val="0.19876071741032372"/>
          <c:h val="0.27932706328375617"/>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.xlsx]2nd Graph!PivotTable15</c:name>
    <c:fmtId val="30"/>
  </c:pivotSource>
  <c:chart>
    <c:title>
      <c:tx>
        <c:rich>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r>
              <a:rPr lang="en-US" b="1">
                <a:solidFill>
                  <a:srgbClr val="1A4B52"/>
                </a:solidFill>
                <a:latin typeface="+mn-lt"/>
              </a:rPr>
              <a:t>Anime Popularity </a:t>
            </a:r>
          </a:p>
        </c:rich>
      </c:tx>
      <c:layout>
        <c:manualLayout>
          <c:xMode val="edge"/>
          <c:yMode val="edge"/>
          <c:x val="0.30820760847108791"/>
          <c:y val="4.1666737603745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A4B5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B75"/>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rgbClr val="01A310"/>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rgbClr val="69E575"/>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rgbClr val="B9D9A3"/>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rgbClr val="7AB47B"/>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rgbClr val="144C2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rgbClr val="01A310"/>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rgbClr val="69E575"/>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rgbClr val="B9D9A3"/>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rgbClr val="7AB47B"/>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rgbClr val="144C2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rgbClr val="01A310"/>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rgbClr val="69E575"/>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rgbClr val="B9D9A3"/>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rgbClr val="7AB47B"/>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rgbClr val="144C2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s>
    <c:plotArea>
      <c:layout>
        <c:manualLayout>
          <c:layoutTarget val="inner"/>
          <c:xMode val="edge"/>
          <c:yMode val="edge"/>
          <c:x val="0.1299573975344209"/>
          <c:y val="0.18052410191047322"/>
          <c:w val="0.43467369691769314"/>
          <c:h val="0.71420059405113301"/>
        </c:manualLayout>
      </c:layout>
      <c:pieChart>
        <c:varyColors val="1"/>
        <c:ser>
          <c:idx val="0"/>
          <c:order val="0"/>
          <c:tx>
            <c:strRef>
              <c:f>'2nd Graph'!$B$3</c:f>
              <c:strCache>
                <c:ptCount val="1"/>
                <c:pt idx="0">
                  <c:v>Sum of Members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79-4268-8193-92F18EDEC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79-4268-8193-92F18EDEC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79-4268-8193-92F18EDEC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79-4268-8193-92F18EDEC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79-4268-8193-92F18EDECA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79-4268-8193-92F18EDECA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779-4268-8193-92F18EDECA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779-4268-8193-92F18EDECA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779-4268-8193-92F18EDECA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779-4268-8193-92F18EDECA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779-4268-8193-92F18EDECA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779-4268-8193-92F18EDECA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779-4268-8193-92F18EDECA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779-4268-8193-92F18EDECA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779-4268-8193-92F18EDECA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779-4268-8193-92F18EDECA1F}"/>
              </c:ext>
            </c:extLst>
          </c:dPt>
          <c:dPt>
            <c:idx val="16"/>
            <c:bubble3D val="0"/>
            <c:spPr>
              <a:solidFill>
                <a:srgbClr val="01A310"/>
              </a:solidFill>
              <a:ln w="19050">
                <a:solidFill>
                  <a:schemeClr val="lt1"/>
                </a:solidFill>
              </a:ln>
              <a:effectLst/>
            </c:spPr>
            <c:extLst>
              <c:ext xmlns:c16="http://schemas.microsoft.com/office/drawing/2014/chart" uri="{C3380CC4-5D6E-409C-BE32-E72D297353CC}">
                <c16:uniqueId val="{00000021-9779-4268-8193-92F18EDECA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779-4268-8193-92F18EDECA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779-4268-8193-92F18EDECA1F}"/>
              </c:ext>
            </c:extLst>
          </c:dPt>
          <c:dPt>
            <c:idx val="19"/>
            <c:bubble3D val="0"/>
            <c:spPr>
              <a:solidFill>
                <a:srgbClr val="69E575"/>
              </a:solidFill>
              <a:ln w="19050">
                <a:solidFill>
                  <a:schemeClr val="lt1"/>
                </a:solidFill>
              </a:ln>
              <a:effectLst/>
            </c:spPr>
            <c:extLst>
              <c:ext xmlns:c16="http://schemas.microsoft.com/office/drawing/2014/chart" uri="{C3380CC4-5D6E-409C-BE32-E72D297353CC}">
                <c16:uniqueId val="{00000027-9779-4268-8193-92F18EDECA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9779-4268-8193-92F18EDECA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779-4268-8193-92F18EDECA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9779-4268-8193-92F18EDECA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9779-4268-8193-92F18EDECA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9779-4268-8193-92F18EDECA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9779-4268-8193-92F18EDECA1F}"/>
              </c:ext>
            </c:extLst>
          </c:dPt>
          <c:dPt>
            <c:idx val="26"/>
            <c:bubble3D val="0"/>
            <c:spPr>
              <a:solidFill>
                <a:srgbClr val="B9D9A3"/>
              </a:solidFill>
              <a:ln w="19050">
                <a:solidFill>
                  <a:schemeClr val="lt1"/>
                </a:solidFill>
              </a:ln>
              <a:effectLst/>
            </c:spPr>
            <c:extLst>
              <c:ext xmlns:c16="http://schemas.microsoft.com/office/drawing/2014/chart" uri="{C3380CC4-5D6E-409C-BE32-E72D297353CC}">
                <c16:uniqueId val="{00000035-9779-4268-8193-92F18EDECA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9779-4268-8193-92F18EDECA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9779-4268-8193-92F18EDECA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9779-4268-8193-92F18EDECA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9779-4268-8193-92F18EDECA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9779-4268-8193-92F18EDECA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9779-4268-8193-92F18EDECA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9779-4268-8193-92F18EDECA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9779-4268-8193-92F18EDECA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9779-4268-8193-92F18EDECA1F}"/>
              </c:ext>
            </c:extLst>
          </c:dPt>
          <c:dPt>
            <c:idx val="36"/>
            <c:bubble3D val="0"/>
            <c:spPr>
              <a:solidFill>
                <a:srgbClr val="7AB47B"/>
              </a:solidFill>
              <a:ln w="19050">
                <a:solidFill>
                  <a:schemeClr val="lt1"/>
                </a:solidFill>
              </a:ln>
              <a:effectLst/>
            </c:spPr>
            <c:extLst>
              <c:ext xmlns:c16="http://schemas.microsoft.com/office/drawing/2014/chart" uri="{C3380CC4-5D6E-409C-BE32-E72D297353CC}">
                <c16:uniqueId val="{00000049-9779-4268-8193-92F18EDECA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9779-4268-8193-92F18EDECA1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9779-4268-8193-92F18EDECA1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9779-4268-8193-92F18EDECA1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9779-4268-8193-92F18EDECA1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9779-4268-8193-92F18EDECA1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9779-4268-8193-92F18EDECA1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9779-4268-8193-92F18EDECA1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9779-4268-8193-92F18EDECA1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9779-4268-8193-92F18EDECA1F}"/>
              </c:ext>
            </c:extLst>
          </c:dPt>
          <c:dPt>
            <c:idx val="46"/>
            <c:bubble3D val="0"/>
            <c:spPr>
              <a:solidFill>
                <a:srgbClr val="144C21"/>
              </a:solidFill>
              <a:ln w="19050">
                <a:solidFill>
                  <a:schemeClr val="lt1"/>
                </a:solidFill>
              </a:ln>
              <a:effectLst/>
            </c:spPr>
            <c:extLst>
              <c:ext xmlns:c16="http://schemas.microsoft.com/office/drawing/2014/chart" uri="{C3380CC4-5D6E-409C-BE32-E72D297353CC}">
                <c16:uniqueId val="{0000005D-9779-4268-8193-92F18EDECA1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9779-4268-8193-92F18EDECA1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9779-4268-8193-92F18EDECA1F}"/>
              </c:ext>
            </c:extLst>
          </c:dPt>
          <c:cat>
            <c:strRef>
              <c:f>'2nd Graph'!$A$4:$A$53</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'2nd Graph'!$B$4:$B$53</c:f>
              <c:numCache>
                <c:formatCode>General</c:formatCode>
                <c:ptCount val="49"/>
                <c:pt idx="0">
                  <c:v>3326174</c:v>
                </c:pt>
                <c:pt idx="1">
                  <c:v>2096752</c:v>
                </c:pt>
                <c:pt idx="2">
                  <c:v>2366714</c:v>
                </c:pt>
                <c:pt idx="3">
                  <c:v>229007</c:v>
                </c:pt>
                <c:pt idx="4">
                  <c:v>3766726</c:v>
                </c:pt>
                <c:pt idx="5">
                  <c:v>4764750</c:v>
                </c:pt>
                <c:pt idx="6">
                  <c:v>4660534</c:v>
                </c:pt>
                <c:pt idx="7">
                  <c:v>3190132</c:v>
                </c:pt>
                <c:pt idx="8">
                  <c:v>459102</c:v>
                </c:pt>
                <c:pt idx="9">
                  <c:v>1723257</c:v>
                </c:pt>
                <c:pt idx="10">
                  <c:v>1215940</c:v>
                </c:pt>
                <c:pt idx="11">
                  <c:v>4053230</c:v>
                </c:pt>
                <c:pt idx="12">
                  <c:v>5148282</c:v>
                </c:pt>
                <c:pt idx="13">
                  <c:v>2226178</c:v>
                </c:pt>
                <c:pt idx="14">
                  <c:v>4724772</c:v>
                </c:pt>
                <c:pt idx="15">
                  <c:v>784856</c:v>
                </c:pt>
                <c:pt idx="16">
                  <c:v>3318180</c:v>
                </c:pt>
                <c:pt idx="17">
                  <c:v>414347</c:v>
                </c:pt>
                <c:pt idx="18">
                  <c:v>1494644</c:v>
                </c:pt>
                <c:pt idx="19">
                  <c:v>9063670</c:v>
                </c:pt>
                <c:pt idx="20">
                  <c:v>2704285</c:v>
                </c:pt>
                <c:pt idx="21">
                  <c:v>3800042</c:v>
                </c:pt>
                <c:pt idx="22">
                  <c:v>827002</c:v>
                </c:pt>
                <c:pt idx="23">
                  <c:v>1718096</c:v>
                </c:pt>
                <c:pt idx="24">
                  <c:v>1049204</c:v>
                </c:pt>
                <c:pt idx="25">
                  <c:v>2546211</c:v>
                </c:pt>
                <c:pt idx="26">
                  <c:v>3901401</c:v>
                </c:pt>
                <c:pt idx="27">
                  <c:v>868974</c:v>
                </c:pt>
                <c:pt idx="28">
                  <c:v>1043697</c:v>
                </c:pt>
                <c:pt idx="29">
                  <c:v>1143085</c:v>
                </c:pt>
                <c:pt idx="30">
                  <c:v>1024655</c:v>
                </c:pt>
                <c:pt idx="31">
                  <c:v>60870</c:v>
                </c:pt>
                <c:pt idx="32">
                  <c:v>5210406</c:v>
                </c:pt>
                <c:pt idx="33">
                  <c:v>2264679</c:v>
                </c:pt>
                <c:pt idx="34">
                  <c:v>1798685</c:v>
                </c:pt>
                <c:pt idx="35">
                  <c:v>477345</c:v>
                </c:pt>
                <c:pt idx="36">
                  <c:v>10835267</c:v>
                </c:pt>
                <c:pt idx="37">
                  <c:v>1185383</c:v>
                </c:pt>
                <c:pt idx="38">
                  <c:v>420950</c:v>
                </c:pt>
                <c:pt idx="39">
                  <c:v>484059</c:v>
                </c:pt>
                <c:pt idx="40">
                  <c:v>38648</c:v>
                </c:pt>
                <c:pt idx="41">
                  <c:v>2008234</c:v>
                </c:pt>
                <c:pt idx="42">
                  <c:v>1514063</c:v>
                </c:pt>
                <c:pt idx="43">
                  <c:v>2061201</c:v>
                </c:pt>
                <c:pt idx="44">
                  <c:v>756621</c:v>
                </c:pt>
                <c:pt idx="45">
                  <c:v>592901</c:v>
                </c:pt>
                <c:pt idx="46">
                  <c:v>5529454</c:v>
                </c:pt>
                <c:pt idx="47">
                  <c:v>1906217</c:v>
                </c:pt>
                <c:pt idx="48">
                  <c:v>2899568</c:v>
                </c:pt>
              </c:numCache>
            </c:numRef>
          </c:val>
          <c:extLst>
            <c:ext xmlns:c16="http://schemas.microsoft.com/office/drawing/2014/chart" uri="{C3380CC4-5D6E-409C-BE32-E72D297353CC}">
              <c16:uniqueId val="{00000062-9779-4268-8193-92F18EDECA1F}"/>
            </c:ext>
          </c:extLst>
        </c:ser>
        <c:ser>
          <c:idx val="1"/>
          <c:order val="1"/>
          <c:tx>
            <c:strRef>
              <c:f>'2nd Graph'!$C$3</c:f>
              <c:strCache>
                <c:ptCount val="1"/>
                <c:pt idx="0">
                  <c:v>Sum of Ranks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4-9779-4268-8193-92F18EDEC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6-9779-4268-8193-92F18EDEC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8-9779-4268-8193-92F18EDEC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A-9779-4268-8193-92F18EDEC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C-9779-4268-8193-92F18EDECA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E-9779-4268-8193-92F18EDECA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0-9779-4268-8193-92F18EDECA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2-9779-4268-8193-92F18EDECA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4-9779-4268-8193-92F18EDECA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6-9779-4268-8193-92F18EDECA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8-9779-4268-8193-92F18EDECA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A-9779-4268-8193-92F18EDECA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C-9779-4268-8193-92F18EDECA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E-9779-4268-8193-92F18EDECA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0-9779-4268-8193-92F18EDECA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9779-4268-8193-92F18EDECA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4-9779-4268-8193-92F18EDECA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6-9779-4268-8193-92F18EDECA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8-9779-4268-8193-92F18EDECA1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A-9779-4268-8193-92F18EDECA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C-9779-4268-8193-92F18EDECA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E-9779-4268-8193-92F18EDECA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0-9779-4268-8193-92F18EDECA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2-9779-4268-8193-92F18EDECA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4-9779-4268-8193-92F18EDECA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6-9779-4268-8193-92F18EDECA1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98-9779-4268-8193-92F18EDECA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9A-9779-4268-8193-92F18EDECA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9C-9779-4268-8193-92F18EDECA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9E-9779-4268-8193-92F18EDECA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0-9779-4268-8193-92F18EDECA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2-9779-4268-8193-92F18EDECA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4-9779-4268-8193-92F18EDECA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6-9779-4268-8193-92F18EDECA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A8-9779-4268-8193-92F18EDECA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AA-9779-4268-8193-92F18EDECA1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AC-9779-4268-8193-92F18EDECA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AE-9779-4268-8193-92F18EDECA1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0-9779-4268-8193-92F18EDECA1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2-9779-4268-8193-92F18EDECA1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4-9779-4268-8193-92F18EDECA1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6-9779-4268-8193-92F18EDECA1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B8-9779-4268-8193-92F18EDECA1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BA-9779-4268-8193-92F18EDECA1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BC-9779-4268-8193-92F18EDECA1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BE-9779-4268-8193-92F18EDECA1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0-9779-4268-8193-92F18EDECA1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2-9779-4268-8193-92F18EDECA1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4-9779-4268-8193-92F18EDECA1F}"/>
              </c:ext>
            </c:extLst>
          </c:dPt>
          <c:cat>
            <c:strRef>
              <c:f>'2nd Graph'!$A$4:$A$53</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'2nd Graph'!$C$4:$C$53</c:f>
              <c:numCache>
                <c:formatCode>General</c:formatCode>
                <c:ptCount val="49"/>
                <c:pt idx="0">
                  <c:v>307</c:v>
                </c:pt>
                <c:pt idx="1">
                  <c:v>2358</c:v>
                </c:pt>
                <c:pt idx="2">
                  <c:v>685</c:v>
                </c:pt>
                <c:pt idx="3">
                  <c:v>413</c:v>
                </c:pt>
                <c:pt idx="4">
                  <c:v>75</c:v>
                </c:pt>
                <c:pt idx="5">
                  <c:v>774</c:v>
                </c:pt>
                <c:pt idx="6">
                  <c:v>452</c:v>
                </c:pt>
                <c:pt idx="7">
                  <c:v>29</c:v>
                </c:pt>
                <c:pt idx="8">
                  <c:v>427</c:v>
                </c:pt>
                <c:pt idx="9">
                  <c:v>67</c:v>
                </c:pt>
                <c:pt idx="10">
                  <c:v>586</c:v>
                </c:pt>
                <c:pt idx="11">
                  <c:v>71</c:v>
                </c:pt>
                <c:pt idx="12">
                  <c:v>449</c:v>
                </c:pt>
                <c:pt idx="13">
                  <c:v>55</c:v>
                </c:pt>
                <c:pt idx="14">
                  <c:v>950</c:v>
                </c:pt>
                <c:pt idx="15">
                  <c:v>1070</c:v>
                </c:pt>
                <c:pt idx="16">
                  <c:v>2</c:v>
                </c:pt>
                <c:pt idx="17">
                  <c:v>1660</c:v>
                </c:pt>
                <c:pt idx="18">
                  <c:v>909</c:v>
                </c:pt>
                <c:pt idx="19">
                  <c:v>58</c:v>
                </c:pt>
                <c:pt idx="20">
                  <c:v>8</c:v>
                </c:pt>
                <c:pt idx="21">
                  <c:v>84</c:v>
                </c:pt>
                <c:pt idx="22">
                  <c:v>558</c:v>
                </c:pt>
                <c:pt idx="23">
                  <c:v>144</c:v>
                </c:pt>
                <c:pt idx="24">
                  <c:v>101</c:v>
                </c:pt>
                <c:pt idx="25">
                  <c:v>308</c:v>
                </c:pt>
                <c:pt idx="26">
                  <c:v>37</c:v>
                </c:pt>
                <c:pt idx="27">
                  <c:v>169</c:v>
                </c:pt>
                <c:pt idx="28">
                  <c:v>25</c:v>
                </c:pt>
                <c:pt idx="29">
                  <c:v>682</c:v>
                </c:pt>
                <c:pt idx="30">
                  <c:v>399</c:v>
                </c:pt>
                <c:pt idx="31">
                  <c:v>910</c:v>
                </c:pt>
                <c:pt idx="32">
                  <c:v>153</c:v>
                </c:pt>
                <c:pt idx="33">
                  <c:v>1498</c:v>
                </c:pt>
                <c:pt idx="34">
                  <c:v>44</c:v>
                </c:pt>
                <c:pt idx="35">
                  <c:v>253</c:v>
                </c:pt>
                <c:pt idx="36">
                  <c:v>826</c:v>
                </c:pt>
                <c:pt idx="37">
                  <c:v>3698</c:v>
                </c:pt>
                <c:pt idx="38">
                  <c:v>72</c:v>
                </c:pt>
                <c:pt idx="39">
                  <c:v>258</c:v>
                </c:pt>
                <c:pt idx="40">
                  <c:v>431</c:v>
                </c:pt>
                <c:pt idx="41">
                  <c:v>1145</c:v>
                </c:pt>
                <c:pt idx="42">
                  <c:v>351</c:v>
                </c:pt>
                <c:pt idx="43">
                  <c:v>1578</c:v>
                </c:pt>
                <c:pt idx="44">
                  <c:v>529</c:v>
                </c:pt>
                <c:pt idx="45">
                  <c:v>230</c:v>
                </c:pt>
                <c:pt idx="46">
                  <c:v>142</c:v>
                </c:pt>
                <c:pt idx="47">
                  <c:v>38</c:v>
                </c:pt>
                <c:pt idx="48">
                  <c:v>51</c:v>
                </c:pt>
              </c:numCache>
            </c:numRef>
          </c:val>
          <c:extLst>
            <c:ext xmlns:c16="http://schemas.microsoft.com/office/drawing/2014/chart" uri="{C3380CC4-5D6E-409C-BE32-E72D297353CC}">
              <c16:uniqueId val="{000000C5-9779-4268-8193-92F18EDECA1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131448341684548"/>
          <c:y val="0.2126107283464567"/>
          <c:w val="0.32360227329307412"/>
          <c:h val="0.6538045439632546"/>
        </c:manualLayout>
      </c:layout>
      <c:overlay val="0"/>
      <c:spPr>
        <a:solidFill>
          <a:srgbClr val="A5DCE3"/>
        </a:solidFill>
        <a:ln>
          <a:noFill/>
        </a:ln>
        <a:effectLst/>
      </c:spPr>
      <c:txPr>
        <a:bodyPr rot="0" spcFirstLastPara="1" vertOverflow="ellipsis" vert="horz" wrap="square" anchor="ctr" anchorCtr="1"/>
        <a:lstStyle/>
        <a:p>
          <a:pPr>
            <a:defRPr sz="900" b="0" i="0" u="none" strike="noStrike" kern="1200" baseline="0">
              <a:ln>
                <a:noFill/>
              </a:ln>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Top Japanease Anime series .xlsx]1st Graph!PivotTable1</c:name>
    <c:fmtId val="6"/>
  </c:pivotSource>
  <c:chart>
    <c:title>
      <c:tx>
        <c:rich>
          <a:bodyPr rot="0" spcFirstLastPara="1" vertOverflow="ellipsis" vert="horz" wrap="square" anchor="ctr" anchorCtr="1"/>
          <a:lstStyle/>
          <a:p>
            <a:pPr>
              <a:defRPr sz="1400" b="1" i="0" u="none" strike="noStrike" kern="1200" spc="0" baseline="0">
                <a:solidFill>
                  <a:srgbClr val="1A4B52"/>
                </a:solidFill>
                <a:latin typeface="+mj-lt"/>
                <a:ea typeface="+mn-ea"/>
                <a:cs typeface="+mn-cs"/>
              </a:defRPr>
            </a:pPr>
            <a:r>
              <a:rPr lang="en-US" b="1">
                <a:solidFill>
                  <a:srgbClr val="002060"/>
                </a:solidFill>
                <a:latin typeface="+mj-lt"/>
              </a:rPr>
              <a:t>Top</a:t>
            </a:r>
            <a:r>
              <a:rPr lang="en-US" b="1" baseline="0">
                <a:solidFill>
                  <a:srgbClr val="002060"/>
                </a:solidFill>
                <a:latin typeface="+mj-lt"/>
              </a:rPr>
              <a:t> Anime from Each studio </a:t>
            </a:r>
            <a:endParaRPr lang="en-US" b="1">
              <a:solidFill>
                <a:srgbClr val="002060"/>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A4B5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A4B5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'1st Graph'!$B$4:$B$6</c:f>
              <c:strCache>
                <c:ptCount val="1"/>
                <c:pt idx="0">
                  <c:v>Sum of Score - 8bit</c:v>
                </c:pt>
              </c:strCache>
            </c:strRef>
          </c:tx>
          <c:spPr>
            <a:solidFill>
              <a:schemeClr val="accent1">
                <a:tint val="3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Graph'!$B$7:$B$56</c:f>
              <c:numCache>
                <c:formatCode>General</c:formatCode>
                <c:ptCount val="49"/>
                <c:pt idx="45">
                  <c:v>8.32</c:v>
                </c:pt>
              </c:numCache>
            </c:numRef>
          </c:val>
          <c:extLst>
            <c:ext xmlns:c16="http://schemas.microsoft.com/office/drawing/2014/chart" uri="{C3380CC4-5D6E-409C-BE32-E72D297353CC}">
              <c16:uniqueId val="{00000000-D6C0-442D-8875-B1834D8E44B2}"/>
            </c:ext>
          </c:extLst>
        </c:ser>
        <c:ser>
          <c:idx val="1"/>
          <c:order val="1"/>
          <c:tx>
            <c:strRef>
              <c:f>'1st Graph'!$C$4:$C$6</c:f>
              <c:strCache>
                <c:ptCount val="1"/>
                <c:pt idx="0">
                  <c:v>Sum of Score - A-1 Pictures</c:v>
                </c:pt>
              </c:strCache>
            </c:strRef>
          </c:tx>
          <c:spPr>
            <a:solidFill>
              <a:schemeClr val="accent1">
                <a:tint val="3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Graph'!$C$7:$C$56</c:f>
              <c:numCache>
                <c:formatCode>General</c:formatCode>
                <c:ptCount val="49"/>
                <c:pt idx="1">
                  <c:v>7.7</c:v>
                </c:pt>
                <c:pt idx="21">
                  <c:v>8.4</c:v>
                </c:pt>
                <c:pt idx="29">
                  <c:v>7.94</c:v>
                </c:pt>
              </c:numCache>
            </c:numRef>
          </c:val>
          <c:extLst>
            <c:ext xmlns:c16="http://schemas.microsoft.com/office/drawing/2014/chart" uri="{C3380CC4-5D6E-409C-BE32-E72D297353CC}">
              <c16:uniqueId val="{00000001-D6C0-442D-8875-B1834D8E44B2}"/>
            </c:ext>
          </c:extLst>
        </c:ser>
        <c:ser>
          <c:idx val="2"/>
          <c:order val="2"/>
          <c:tx>
            <c:strRef>
              <c:f>'1st Graph'!$D$4:$D$6</c:f>
              <c:strCache>
                <c:ptCount val="1"/>
                <c:pt idx="0">
                  <c:v>Sum of Score - Bandai Namco Pictures</c:v>
                </c:pt>
              </c:strCache>
            </c:strRef>
          </c:tx>
          <c:spPr>
            <a:solidFill>
              <a:schemeClr val="accent1">
                <a:tint val="3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Graph'!$D$7:$D$56</c:f>
              <c:numCache>
                <c:formatCode>General</c:formatCode>
                <c:ptCount val="49"/>
                <c:pt idx="7">
                  <c:v>8.9</c:v>
                </c:pt>
              </c:numCache>
            </c:numRef>
          </c:val>
          <c:extLst>
            <c:ext xmlns:c16="http://schemas.microsoft.com/office/drawing/2014/chart" uri="{C3380CC4-5D6E-409C-BE32-E72D297353CC}">
              <c16:uniqueId val="{00000000-A82C-45E6-ACB7-E0F63205AF45}"/>
            </c:ext>
          </c:extLst>
        </c:ser>
        <c:ser>
          <c:idx val="3"/>
          <c:order val="3"/>
          <c:tx>
            <c:strRef>
              <c:f>'1st Graph'!$E$4:$E$6</c:f>
              <c:strCache>
                <c:ptCount val="1"/>
                <c:pt idx="0">
                  <c:v>Sum of Score - Bones</c:v>
                </c:pt>
              </c:strCache>
            </c:strRef>
          </c:tx>
          <c:spPr>
            <a:solidFill>
              <a:schemeClr val="accent1">
                <a:tint val="3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Graph'!$E$7:$E$56</c:f>
              <c:numCache>
                <c:formatCode>General</c:formatCode>
                <c:ptCount val="49"/>
                <c:pt idx="6">
                  <c:v>8.1</c:v>
                </c:pt>
                <c:pt idx="11">
                  <c:v>8.49</c:v>
                </c:pt>
                <c:pt idx="36">
                  <c:v>8.34</c:v>
                </c:pt>
                <c:pt idx="44">
                  <c:v>8.1999999999999993</c:v>
                </c:pt>
              </c:numCache>
            </c:numRef>
          </c:val>
          <c:extLst>
            <c:ext xmlns:c16="http://schemas.microsoft.com/office/drawing/2014/chart" uri="{C3380CC4-5D6E-409C-BE32-E72D297353CC}">
              <c16:uniqueId val="{00000001-A82C-45E6-ACB7-E0F63205AF45}"/>
            </c:ext>
          </c:extLst>
        </c:ser>
        <c:ser>
          <c:idx val="4"/>
          <c:order val="4"/>
          <c:tx>
            <c:strRef>
              <c:f>'1st Graph'!$F$4:$F$6</c:f>
              <c:strCache>
                <c:ptCount val="1"/>
                <c:pt idx="0">
                  <c:v>Sum of Score - Brain's Base </c:v>
                </c:pt>
              </c:strCache>
            </c:strRef>
          </c:tx>
          <c:spPr>
            <a:solidFill>
              <a:schemeClr val="accent1">
                <a:tint val="4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Graph'!$F$7:$F$56</c:f>
              <c:numCache>
                <c:formatCode>General</c:formatCode>
                <c:ptCount val="49"/>
                <c:pt idx="0">
                  <c:v>8.2899999999999991</c:v>
                </c:pt>
              </c:numCache>
            </c:numRef>
          </c:val>
          <c:extLst>
            <c:ext xmlns:c16="http://schemas.microsoft.com/office/drawing/2014/chart" uri="{C3380CC4-5D6E-409C-BE32-E72D297353CC}">
              <c16:uniqueId val="{00000002-A82C-45E6-ACB7-E0F63205AF45}"/>
            </c:ext>
          </c:extLst>
        </c:ser>
        <c:ser>
          <c:idx val="5"/>
          <c:order val="5"/>
          <c:tx>
            <c:strRef>
              <c:f>'1st Graph'!$G$4:$G$6</c:f>
              <c:strCache>
                <c:ptCount val="1"/>
                <c:pt idx="0">
                  <c:v>Sum of Score - CloverWorks</c:v>
                </c:pt>
              </c:strCache>
            </c:strRef>
          </c:tx>
          <c:spPr>
            <a:solidFill>
              <a:schemeClr val="accent1">
                <a:tint val="4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Graph'!$G$7:$G$56</c:f>
              <c:numCache>
                <c:formatCode>General</c:formatCode>
                <c:ptCount val="49"/>
                <c:pt idx="17">
                  <c:v>7.53</c:v>
                </c:pt>
                <c:pt idx="42">
                  <c:v>8.1950000000000003</c:v>
                </c:pt>
              </c:numCache>
            </c:numRef>
          </c:val>
          <c:extLst>
            <c:ext xmlns:c16="http://schemas.microsoft.com/office/drawing/2014/chart" uri="{C3380CC4-5D6E-409C-BE32-E72D297353CC}">
              <c16:uniqueId val="{00000003-A82C-45E6-ACB7-E0F63205AF45}"/>
            </c:ext>
          </c:extLst>
        </c:ser>
        <c:ser>
          <c:idx val="6"/>
          <c:order val="6"/>
          <c:tx>
            <c:strRef>
              <c:f>'1st Graph'!$H$4:$H$6</c:f>
              <c:strCache>
                <c:ptCount val="1"/>
                <c:pt idx="0">
                  <c:v>Sum of Score - David Production</c:v>
                </c:pt>
              </c:strCache>
            </c:strRef>
          </c:tx>
          <c:spPr>
            <a:solidFill>
              <a:schemeClr val="accent1">
                <a:tint val="4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Graph'!$H$7:$H$56</c:f>
              <c:numCache>
                <c:formatCode>General</c:formatCode>
                <c:ptCount val="49"/>
                <c:pt idx="41">
                  <c:v>7.76</c:v>
                </c:pt>
              </c:numCache>
            </c:numRef>
          </c:val>
          <c:extLst>
            <c:ext xmlns:c16="http://schemas.microsoft.com/office/drawing/2014/chart" uri="{C3380CC4-5D6E-409C-BE32-E72D297353CC}">
              <c16:uniqueId val="{00000004-A82C-45E6-ACB7-E0F63205AF45}"/>
            </c:ext>
          </c:extLst>
        </c:ser>
        <c:ser>
          <c:idx val="7"/>
          <c:order val="7"/>
          <c:tx>
            <c:strRef>
              <c:f>'1st Graph'!$I$4:$I$6</c:f>
              <c:strCache>
                <c:ptCount val="1"/>
                <c:pt idx="0">
                  <c:v>Sum of Score - Deen </c:v>
                </c:pt>
              </c:strCache>
            </c:strRef>
          </c:tx>
          <c:spPr>
            <a:solidFill>
              <a:schemeClr val="accent1">
                <a:tint val="4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Graph'!$I$7:$I$56</c:f>
              <c:numCache>
                <c:formatCode>General</c:formatCode>
                <c:ptCount val="49"/>
                <c:pt idx="38">
                  <c:v>8.6</c:v>
                </c:pt>
              </c:numCache>
            </c:numRef>
          </c:val>
          <c:extLst>
            <c:ext xmlns:c16="http://schemas.microsoft.com/office/drawing/2014/chart" uri="{C3380CC4-5D6E-409C-BE32-E72D297353CC}">
              <c16:uniqueId val="{00000005-A82C-45E6-ACB7-E0F63205AF45}"/>
            </c:ext>
          </c:extLst>
        </c:ser>
        <c:ser>
          <c:idx val="8"/>
          <c:order val="8"/>
          <c:tx>
            <c:strRef>
              <c:f>'1st Graph'!$J$4:$J$6</c:f>
              <c:strCache>
                <c:ptCount val="1"/>
                <c:pt idx="0">
                  <c:v>Sum of Score - J.C.Staff</c:v>
                </c:pt>
              </c:strCache>
            </c:strRef>
          </c:tx>
          <c:spPr>
            <a:solidFill>
              <a:schemeClr val="accent1">
                <a:tint val="4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Graph'!$J$7:$J$56</c:f>
              <c:numCache>
                <c:formatCode>General</c:formatCode>
                <c:ptCount val="49"/>
                <c:pt idx="5">
                  <c:v>8.15</c:v>
                </c:pt>
                <c:pt idx="10">
                  <c:v>8.1</c:v>
                </c:pt>
              </c:numCache>
            </c:numRef>
          </c:val>
          <c:extLst>
            <c:ext xmlns:c16="http://schemas.microsoft.com/office/drawing/2014/chart" uri="{C3380CC4-5D6E-409C-BE32-E72D297353CC}">
              <c16:uniqueId val="{00000006-A82C-45E6-ACB7-E0F63205AF45}"/>
            </c:ext>
          </c:extLst>
        </c:ser>
        <c:ser>
          <c:idx val="9"/>
          <c:order val="9"/>
          <c:tx>
            <c:strRef>
              <c:f>'1st Graph'!$K$4:$K$6</c:f>
              <c:strCache>
                <c:ptCount val="1"/>
                <c:pt idx="0">
                  <c:v>Sum of Score - Kinema Citrus</c:v>
                </c:pt>
              </c:strCache>
            </c:strRef>
          </c:tx>
          <c:spPr>
            <a:solidFill>
              <a:schemeClr val="accent1">
                <a:tint val="5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Graph'!$K$7:$K$56</c:f>
              <c:numCache>
                <c:formatCode>General</c:formatCode>
                <c:ptCount val="49"/>
                <c:pt idx="9">
                  <c:v>8.65</c:v>
                </c:pt>
              </c:numCache>
            </c:numRef>
          </c:val>
          <c:extLst>
            <c:ext xmlns:c16="http://schemas.microsoft.com/office/drawing/2014/chart" uri="{C3380CC4-5D6E-409C-BE32-E72D297353CC}">
              <c16:uniqueId val="{00000007-A82C-45E6-ACB7-E0F63205AF45}"/>
            </c:ext>
          </c:extLst>
        </c:ser>
        <c:ser>
          <c:idx val="10"/>
          <c:order val="10"/>
          <c:tx>
            <c:strRef>
              <c:f>'1st Graph'!$L$4:$L$6</c:f>
              <c:strCache>
                <c:ptCount val="1"/>
                <c:pt idx="0">
                  <c:v>Sum of Score - Kyoto Animation</c:v>
                </c:pt>
              </c:strCache>
            </c:strRef>
          </c:tx>
          <c:spPr>
            <a:solidFill>
              <a:schemeClr val="accent1">
                <a:tint val="5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Graph'!$L$7:$L$56</c:f>
              <c:numCache>
                <c:formatCode>General</c:formatCode>
                <c:ptCount val="49"/>
                <c:pt idx="25">
                  <c:v>8.93</c:v>
                </c:pt>
              </c:numCache>
            </c:numRef>
          </c:val>
          <c:extLst>
            <c:ext xmlns:c16="http://schemas.microsoft.com/office/drawing/2014/chart" uri="{C3380CC4-5D6E-409C-BE32-E72D297353CC}">
              <c16:uniqueId val="{00000008-A82C-45E6-ACB7-E0F63205AF45}"/>
            </c:ext>
          </c:extLst>
        </c:ser>
        <c:ser>
          <c:idx val="11"/>
          <c:order val="11"/>
          <c:tx>
            <c:strRef>
              <c:f>'1st Graph'!$M$4:$M$6</c:f>
              <c:strCache>
                <c:ptCount val="1"/>
                <c:pt idx="0">
                  <c:v>Sum of Score - Liden Films</c:v>
                </c:pt>
              </c:strCache>
            </c:strRef>
          </c:tx>
          <c:spPr>
            <a:solidFill>
              <a:schemeClr val="accent1">
                <a:tint val="5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Graph'!$M$7:$M$56</c:f>
              <c:numCache>
                <c:formatCode>General</c:formatCode>
                <c:ptCount val="49"/>
                <c:pt idx="37">
                  <c:v>7.6559999999999997</c:v>
                </c:pt>
                <c:pt idx="39">
                  <c:v>7.76</c:v>
                </c:pt>
              </c:numCache>
            </c:numRef>
          </c:val>
          <c:extLst>
            <c:ext xmlns:c16="http://schemas.microsoft.com/office/drawing/2014/chart" uri="{C3380CC4-5D6E-409C-BE32-E72D297353CC}">
              <c16:uniqueId val="{00000009-A82C-45E6-ACB7-E0F63205AF45}"/>
            </c:ext>
          </c:extLst>
        </c:ser>
        <c:ser>
          <c:idx val="12"/>
          <c:order val="12"/>
          <c:tx>
            <c:strRef>
              <c:f>'1st Graph'!$N$4:$N$6</c:f>
              <c:strCache>
                <c:ptCount val="1"/>
                <c:pt idx="0">
                  <c:v>Sum of Score - LIDENFILMS</c:v>
                </c:pt>
              </c:strCache>
            </c:strRef>
          </c:tx>
          <c:spPr>
            <a:solidFill>
              <a:schemeClr val="accent1">
                <a:tint val="5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Graph'!$N$7:$N$56</c:f>
              <c:numCache>
                <c:formatCode>General</c:formatCode>
                <c:ptCount val="49"/>
                <c:pt idx="18">
                  <c:v>7.835</c:v>
                </c:pt>
              </c:numCache>
            </c:numRef>
          </c:val>
          <c:extLst>
            <c:ext xmlns:c16="http://schemas.microsoft.com/office/drawing/2014/chart" uri="{C3380CC4-5D6E-409C-BE32-E72D297353CC}">
              <c16:uniqueId val="{0000000A-A82C-45E6-ACB7-E0F63205AF45}"/>
            </c:ext>
          </c:extLst>
        </c:ser>
        <c:ser>
          <c:idx val="13"/>
          <c:order val="13"/>
          <c:tx>
            <c:strRef>
              <c:f>'1st Graph'!$O$4:$O$6</c:f>
              <c:strCache>
                <c:ptCount val="1"/>
                <c:pt idx="0">
                  <c:v>Sum of Score - Mad house </c:v>
                </c:pt>
              </c:strCache>
            </c:strRef>
          </c:tx>
          <c:spPr>
            <a:solidFill>
              <a:schemeClr val="accent1">
                <a:tint val="5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Graph'!$O$7:$O$56</c:f>
              <c:numCache>
                <c:formatCode>General</c:formatCode>
                <c:ptCount val="49"/>
                <c:pt idx="28">
                  <c:v>8.8699999999999992</c:v>
                </c:pt>
              </c:numCache>
            </c:numRef>
          </c:val>
          <c:extLst>
            <c:ext xmlns:c16="http://schemas.microsoft.com/office/drawing/2014/chart" uri="{C3380CC4-5D6E-409C-BE32-E72D297353CC}">
              <c16:uniqueId val="{0000000B-A82C-45E6-ACB7-E0F63205AF45}"/>
            </c:ext>
          </c:extLst>
        </c:ser>
        <c:ser>
          <c:idx val="14"/>
          <c:order val="14"/>
          <c:tx>
            <c:strRef>
              <c:f>'1st Graph'!$P$4:$P$6</c:f>
              <c:strCache>
                <c:ptCount val="1"/>
                <c:pt idx="0">
                  <c:v>Sum of Score - Madhouse</c:v>
                </c:pt>
              </c:strCache>
            </c:strRef>
          </c:tx>
          <c:spPr>
            <a:solidFill>
              <a:schemeClr val="accent1">
                <a:tint val="6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Graph'!$P$7:$P$56</c:f>
              <c:numCache>
                <c:formatCode>General</c:formatCode>
                <c:ptCount val="49"/>
                <c:pt idx="14">
                  <c:v>8</c:v>
                </c:pt>
                <c:pt idx="20">
                  <c:v>9.0399999999999991</c:v>
                </c:pt>
              </c:numCache>
            </c:numRef>
          </c:val>
          <c:extLst>
            <c:ext xmlns:c16="http://schemas.microsoft.com/office/drawing/2014/chart" uri="{C3380CC4-5D6E-409C-BE32-E72D297353CC}">
              <c16:uniqueId val="{0000000C-A82C-45E6-ACB7-E0F63205AF45}"/>
            </c:ext>
          </c:extLst>
        </c:ser>
        <c:ser>
          <c:idx val="15"/>
          <c:order val="15"/>
          <c:tx>
            <c:strRef>
              <c:f>'1st Graph'!$Q$4:$Q$6</c:f>
              <c:strCache>
                <c:ptCount val="1"/>
                <c:pt idx="0">
                  <c:v>Sum of Score - Madhouse </c:v>
                </c:pt>
              </c:strCache>
            </c:strRef>
          </c:tx>
          <c:spPr>
            <a:solidFill>
              <a:schemeClr val="accent1">
                <a:tint val="6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Graph'!$Q$7:$Q$56</c:f>
              <c:numCache>
                <c:formatCode>General</c:formatCode>
                <c:ptCount val="49"/>
                <c:pt idx="4">
                  <c:v>8.6199999999999992</c:v>
                </c:pt>
              </c:numCache>
            </c:numRef>
          </c:val>
          <c:extLst>
            <c:ext xmlns:c16="http://schemas.microsoft.com/office/drawing/2014/chart" uri="{C3380CC4-5D6E-409C-BE32-E72D297353CC}">
              <c16:uniqueId val="{0000000D-A82C-45E6-ACB7-E0F63205AF45}"/>
            </c:ext>
          </c:extLst>
        </c:ser>
        <c:ser>
          <c:idx val="16"/>
          <c:order val="16"/>
          <c:tx>
            <c:strRef>
              <c:f>'1st Graph'!$R$4:$R$6</c:f>
              <c:strCache>
                <c:ptCount val="1"/>
                <c:pt idx="0">
                  <c:v>Sum of Score - MAPPA</c:v>
                </c:pt>
              </c:strCache>
            </c:strRef>
          </c:tx>
          <c:spPr>
            <a:solidFill>
              <a:schemeClr val="accent1">
                <a:tint val="6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Graph'!$R$7:$R$56</c:f>
              <c:numCache>
                <c:formatCode>General</c:formatCode>
                <c:ptCount val="49"/>
                <c:pt idx="48">
                  <c:v>8.7249999999999996</c:v>
                </c:pt>
              </c:numCache>
            </c:numRef>
          </c:val>
          <c:extLst>
            <c:ext xmlns:c16="http://schemas.microsoft.com/office/drawing/2014/chart" uri="{C3380CC4-5D6E-409C-BE32-E72D297353CC}">
              <c16:uniqueId val="{0000000E-A82C-45E6-ACB7-E0F63205AF45}"/>
            </c:ext>
          </c:extLst>
        </c:ser>
        <c:ser>
          <c:idx val="17"/>
          <c:order val="17"/>
          <c:tx>
            <c:strRef>
              <c:f>'1st Graph'!$S$4:$S$6</c:f>
              <c:strCache>
                <c:ptCount val="1"/>
                <c:pt idx="0">
                  <c:v>Sum of Score - P.A Works</c:v>
                </c:pt>
              </c:strCache>
            </c:strRef>
          </c:tx>
          <c:spPr>
            <a:solidFill>
              <a:schemeClr val="accent1">
                <a:tint val="6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Graph'!$S$7:$S$56</c:f>
              <c:numCache>
                <c:formatCode>General</c:formatCode>
                <c:ptCount val="49"/>
                <c:pt idx="3">
                  <c:v>8.15</c:v>
                </c:pt>
              </c:numCache>
            </c:numRef>
          </c:val>
          <c:extLst>
            <c:ext xmlns:c16="http://schemas.microsoft.com/office/drawing/2014/chart" uri="{C3380CC4-5D6E-409C-BE32-E72D297353CC}">
              <c16:uniqueId val="{0000000F-A82C-45E6-ACB7-E0F63205AF45}"/>
            </c:ext>
          </c:extLst>
        </c:ser>
        <c:ser>
          <c:idx val="18"/>
          <c:order val="18"/>
          <c:tx>
            <c:strRef>
              <c:f>'1st Graph'!$T$4:$T$6</c:f>
              <c:strCache>
                <c:ptCount val="1"/>
                <c:pt idx="0">
                  <c:v>Sum of Score - Pierrot</c:v>
                </c:pt>
              </c:strCache>
            </c:strRef>
          </c:tx>
          <c:spPr>
            <a:solidFill>
              <a:schemeClr val="accent1">
                <a:tint val="6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Graph'!$T$7:$T$56</c:f>
              <c:numCache>
                <c:formatCode>General</c:formatCode>
                <c:ptCount val="49"/>
                <c:pt idx="2">
                  <c:v>7.9</c:v>
                </c:pt>
                <c:pt idx="22">
                  <c:v>8.3000000000000007</c:v>
                </c:pt>
                <c:pt idx="35">
                  <c:v>9</c:v>
                </c:pt>
              </c:numCache>
            </c:numRef>
          </c:val>
          <c:extLst>
            <c:ext xmlns:c16="http://schemas.microsoft.com/office/drawing/2014/chart" uri="{C3380CC4-5D6E-409C-BE32-E72D297353CC}">
              <c16:uniqueId val="{00000010-A82C-45E6-ACB7-E0F63205AF45}"/>
            </c:ext>
          </c:extLst>
        </c:ser>
        <c:ser>
          <c:idx val="19"/>
          <c:order val="19"/>
          <c:tx>
            <c:strRef>
              <c:f>'1st Graph'!$U$4:$U$6</c:f>
              <c:strCache>
                <c:ptCount val="1"/>
                <c:pt idx="0">
                  <c:v>Sum of Score - Platinum Vision</c:v>
                </c:pt>
              </c:strCache>
            </c:strRef>
          </c:tx>
          <c:spPr>
            <a:solidFill>
              <a:schemeClr val="accent1">
                <a:tint val="7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Graph'!$U$7:$U$56</c:f>
              <c:numCache>
                <c:formatCode>General</c:formatCode>
                <c:ptCount val="49"/>
                <c:pt idx="8">
                  <c:v>8.1750000000000007</c:v>
                </c:pt>
              </c:numCache>
            </c:numRef>
          </c:val>
          <c:extLst>
            <c:ext xmlns:c16="http://schemas.microsoft.com/office/drawing/2014/chart" uri="{C3380CC4-5D6E-409C-BE32-E72D297353CC}">
              <c16:uniqueId val="{00000011-A82C-45E6-ACB7-E0F63205AF45}"/>
            </c:ext>
          </c:extLst>
        </c:ser>
        <c:ser>
          <c:idx val="20"/>
          <c:order val="20"/>
          <c:tx>
            <c:strRef>
              <c:f>'1st Graph'!$V$4:$V$6</c:f>
              <c:strCache>
                <c:ptCount val="1"/>
                <c:pt idx="0">
                  <c:v>Sum of Score - Production I.G</c:v>
                </c:pt>
              </c:strCache>
            </c:strRef>
          </c:tx>
          <c:spPr>
            <a:solidFill>
              <a:schemeClr val="accent1">
                <a:tint val="7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Graph'!$V$7:$V$56</c:f>
              <c:numCache>
                <c:formatCode>General</c:formatCode>
                <c:ptCount val="49"/>
                <c:pt idx="32">
                  <c:v>8.36</c:v>
                </c:pt>
              </c:numCache>
            </c:numRef>
          </c:val>
          <c:extLst>
            <c:ext xmlns:c16="http://schemas.microsoft.com/office/drawing/2014/chart" uri="{C3380CC4-5D6E-409C-BE32-E72D297353CC}">
              <c16:uniqueId val="{00000012-A82C-45E6-ACB7-E0F63205AF45}"/>
            </c:ext>
          </c:extLst>
        </c:ser>
        <c:ser>
          <c:idx val="21"/>
          <c:order val="21"/>
          <c:tx>
            <c:strRef>
              <c:f>'1st Graph'!$W$4:$W$6</c:f>
              <c:strCache>
                <c:ptCount val="1"/>
                <c:pt idx="0">
                  <c:v>Sum of Score - Shaft </c:v>
                </c:pt>
              </c:strCache>
            </c:strRef>
          </c:tx>
          <c:spPr>
            <a:solidFill>
              <a:schemeClr val="accent1">
                <a:tint val="7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Graph'!$W$7:$W$56</c:f>
              <c:numCache>
                <c:formatCode>General</c:formatCode>
                <c:ptCount val="49"/>
                <c:pt idx="24">
                  <c:v>8.3800000000000008</c:v>
                </c:pt>
                <c:pt idx="33">
                  <c:v>8.33</c:v>
                </c:pt>
              </c:numCache>
            </c:numRef>
          </c:val>
          <c:extLst>
            <c:ext xmlns:c16="http://schemas.microsoft.com/office/drawing/2014/chart" uri="{C3380CC4-5D6E-409C-BE32-E72D297353CC}">
              <c16:uniqueId val="{00000013-A82C-45E6-ACB7-E0F63205AF45}"/>
            </c:ext>
          </c:extLst>
        </c:ser>
        <c:ser>
          <c:idx val="22"/>
          <c:order val="22"/>
          <c:tx>
            <c:strRef>
              <c:f>'1st Graph'!$X$4:$X$6</c:f>
              <c:strCache>
                <c:ptCount val="1"/>
                <c:pt idx="0">
                  <c:v>Sum of Score - Shin Ei</c:v>
                </c:pt>
              </c:strCache>
            </c:strRef>
          </c:tx>
          <c:spPr>
            <a:solidFill>
              <a:schemeClr val="accent1">
                <a:tint val="7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Graph'!$X$7:$X$56</c:f>
              <c:numCache>
                <c:formatCode>General</c:formatCode>
                <c:ptCount val="49"/>
                <c:pt idx="31">
                  <c:v>7.81</c:v>
                </c:pt>
              </c:numCache>
            </c:numRef>
          </c:val>
          <c:extLst>
            <c:ext xmlns:c16="http://schemas.microsoft.com/office/drawing/2014/chart" uri="{C3380CC4-5D6E-409C-BE32-E72D297353CC}">
              <c16:uniqueId val="{00000014-A82C-45E6-ACB7-E0F63205AF45}"/>
            </c:ext>
          </c:extLst>
        </c:ser>
        <c:ser>
          <c:idx val="23"/>
          <c:order val="23"/>
          <c:tx>
            <c:strRef>
              <c:f>'1st Graph'!$Y$4:$Y$6</c:f>
              <c:strCache>
                <c:ptCount val="1"/>
                <c:pt idx="0">
                  <c:v>Sum of Score - Studio Pierrot</c:v>
                </c:pt>
              </c:strCache>
            </c:strRef>
          </c:tx>
          <c:spPr>
            <a:solidFill>
              <a:schemeClr val="accent1">
                <a:tint val="7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Graph'!$Y$7:$Y$56</c:f>
              <c:numCache>
                <c:formatCode>General</c:formatCode>
                <c:ptCount val="49"/>
                <c:pt idx="12">
                  <c:v>8.125</c:v>
                </c:pt>
              </c:numCache>
            </c:numRef>
          </c:val>
          <c:extLst>
            <c:ext xmlns:c16="http://schemas.microsoft.com/office/drawing/2014/chart" uri="{C3380CC4-5D6E-409C-BE32-E72D297353CC}">
              <c16:uniqueId val="{00000015-A82C-45E6-ACB7-E0F63205AF45}"/>
            </c:ext>
          </c:extLst>
        </c:ser>
        <c:ser>
          <c:idx val="24"/>
          <c:order val="24"/>
          <c:tx>
            <c:strRef>
              <c:f>'1st Graph'!$Z$4:$Z$6</c:f>
              <c:strCache>
                <c:ptCount val="1"/>
                <c:pt idx="0">
                  <c:v>Sum of Score - studio Sunrise</c:v>
                </c:pt>
              </c:strCache>
            </c:strRef>
          </c:tx>
          <c:spPr>
            <a:solidFill>
              <a:schemeClr val="accent1">
                <a:tint val="8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Graph'!$Z$7:$Z$56</c:f>
              <c:numCache>
                <c:formatCode>General</c:formatCode>
                <c:ptCount val="49"/>
                <c:pt idx="34">
                  <c:v>8.75</c:v>
                </c:pt>
              </c:numCache>
            </c:numRef>
          </c:val>
          <c:extLst>
            <c:ext xmlns:c16="http://schemas.microsoft.com/office/drawing/2014/chart" uri="{C3380CC4-5D6E-409C-BE32-E72D297353CC}">
              <c16:uniqueId val="{00000016-A82C-45E6-ACB7-E0F63205AF45}"/>
            </c:ext>
          </c:extLst>
        </c:ser>
        <c:ser>
          <c:idx val="25"/>
          <c:order val="25"/>
          <c:tx>
            <c:strRef>
              <c:f>'1st Graph'!$AA$4:$AA$6</c:f>
              <c:strCache>
                <c:ptCount val="1"/>
                <c:pt idx="0">
                  <c:v>Sum of Score - Sunrise </c:v>
                </c:pt>
              </c:strCache>
            </c:strRef>
          </c:tx>
          <c:spPr>
            <a:solidFill>
              <a:schemeClr val="accent1">
                <a:tint val="8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Graph'!$AA$7:$AA$56</c:f>
              <c:numCache>
                <c:formatCode>General</c:formatCode>
                <c:ptCount val="49"/>
                <c:pt idx="26">
                  <c:v>8.6999999999999993</c:v>
                </c:pt>
              </c:numCache>
            </c:numRef>
          </c:val>
          <c:extLst>
            <c:ext xmlns:c16="http://schemas.microsoft.com/office/drawing/2014/chart" uri="{C3380CC4-5D6E-409C-BE32-E72D297353CC}">
              <c16:uniqueId val="{00000017-A82C-45E6-ACB7-E0F63205AF45}"/>
            </c:ext>
          </c:extLst>
        </c:ser>
        <c:ser>
          <c:idx val="26"/>
          <c:order val="26"/>
          <c:tx>
            <c:strRef>
              <c:f>'1st Graph'!$AB$4:$AB$6</c:f>
              <c:strCache>
                <c:ptCount val="1"/>
                <c:pt idx="0">
                  <c:v>Sum of Score - TMS Entertainment V1 Studio</c:v>
                </c:pt>
              </c:strCache>
            </c:strRef>
          </c:tx>
          <c:spPr>
            <a:solidFill>
              <a:schemeClr val="accent1">
                <a:tint val="8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Graph'!$AB$7:$AB$56</c:f>
              <c:numCache>
                <c:formatCode>General</c:formatCode>
                <c:ptCount val="49"/>
                <c:pt idx="30">
                  <c:v>8.1</c:v>
                </c:pt>
              </c:numCache>
            </c:numRef>
          </c:val>
          <c:extLst>
            <c:ext xmlns:c16="http://schemas.microsoft.com/office/drawing/2014/chart" uri="{C3380CC4-5D6E-409C-BE32-E72D297353CC}">
              <c16:uniqueId val="{00000018-A82C-45E6-ACB7-E0F63205AF45}"/>
            </c:ext>
          </c:extLst>
        </c:ser>
        <c:ser>
          <c:idx val="27"/>
          <c:order val="27"/>
          <c:tx>
            <c:strRef>
              <c:f>'1st Graph'!$AC$4:$AC$6</c:f>
              <c:strCache>
                <c:ptCount val="1"/>
                <c:pt idx="0">
                  <c:v>Sum of Score - TMS/8PAN</c:v>
                </c:pt>
              </c:strCache>
            </c:strRef>
          </c:tx>
          <c:spPr>
            <a:solidFill>
              <a:schemeClr val="accent1">
                <a:tint val="8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Graph'!$AC$7:$AC$56</c:f>
              <c:numCache>
                <c:formatCode>General</c:formatCode>
                <c:ptCount val="49"/>
                <c:pt idx="23">
                  <c:v>8.99</c:v>
                </c:pt>
              </c:numCache>
            </c:numRef>
          </c:val>
          <c:extLst>
            <c:ext xmlns:c16="http://schemas.microsoft.com/office/drawing/2014/chart" uri="{C3380CC4-5D6E-409C-BE32-E72D297353CC}">
              <c16:uniqueId val="{00000019-A82C-45E6-ACB7-E0F63205AF45}"/>
            </c:ext>
          </c:extLst>
        </c:ser>
        <c:ser>
          <c:idx val="28"/>
          <c:order val="28"/>
          <c:tx>
            <c:strRef>
              <c:f>'1st Graph'!$AD$4:$AD$6</c:f>
              <c:strCache>
                <c:ptCount val="1"/>
                <c:pt idx="0">
                  <c:v>Sum of Score - Toei Animation</c:v>
                </c:pt>
              </c:strCache>
            </c:strRef>
          </c:tx>
          <c:spPr>
            <a:solidFill>
              <a:schemeClr val="accent1">
                <a:tint val="8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Graph'!$AD$7:$AD$56</c:f>
              <c:numCache>
                <c:formatCode>General</c:formatCode>
                <c:ptCount val="49"/>
                <c:pt idx="13">
                  <c:v>8.6999999999999993</c:v>
                </c:pt>
                <c:pt idx="15">
                  <c:v>7.73</c:v>
                </c:pt>
              </c:numCache>
            </c:numRef>
          </c:val>
          <c:extLst>
            <c:ext xmlns:c16="http://schemas.microsoft.com/office/drawing/2014/chart" uri="{C3380CC4-5D6E-409C-BE32-E72D297353CC}">
              <c16:uniqueId val="{0000001A-A82C-45E6-ACB7-E0F63205AF45}"/>
            </c:ext>
          </c:extLst>
        </c:ser>
        <c:ser>
          <c:idx val="29"/>
          <c:order val="29"/>
          <c:tx>
            <c:strRef>
              <c:f>'1st Graph'!$AE$4:$AE$6</c:f>
              <c:strCache>
                <c:ptCount val="1"/>
                <c:pt idx="0">
                  <c:v>Sum of Score - Tokuo Movie Shinsha</c:v>
                </c:pt>
              </c:strCache>
            </c:strRef>
          </c:tx>
          <c:spPr>
            <a:solidFill>
              <a:schemeClr val="accent1">
                <a:tint val="91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Graph'!$AE$7:$AE$56</c:f>
              <c:numCache>
                <c:formatCode>General</c:formatCode>
                <c:ptCount val="49"/>
                <c:pt idx="40">
                  <c:v>8.0500000000000007</c:v>
                </c:pt>
              </c:numCache>
            </c:numRef>
          </c:val>
          <c:extLst>
            <c:ext xmlns:c16="http://schemas.microsoft.com/office/drawing/2014/chart" uri="{C3380CC4-5D6E-409C-BE32-E72D297353CC}">
              <c16:uniqueId val="{0000001B-A82C-45E6-ACB7-E0F63205AF45}"/>
            </c:ext>
          </c:extLst>
        </c:ser>
        <c:ser>
          <c:idx val="30"/>
          <c:order val="30"/>
          <c:tx>
            <c:strRef>
              <c:f>'1st Graph'!$AF$4:$AF$6</c:f>
              <c:strCache>
                <c:ptCount val="1"/>
                <c:pt idx="0">
                  <c:v>Sum of Score - Ufotable</c:v>
                </c:pt>
              </c:strCache>
            </c:strRef>
          </c:tx>
          <c:spPr>
            <a:solidFill>
              <a:schemeClr val="accent1">
                <a:tint val="93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Graph'!$AF$7:$AF$56</c:f>
              <c:numCache>
                <c:formatCode>General</c:formatCode>
                <c:ptCount val="49"/>
                <c:pt idx="46">
                  <c:v>8.5</c:v>
                </c:pt>
              </c:numCache>
            </c:numRef>
          </c:val>
          <c:extLst>
            <c:ext xmlns:c16="http://schemas.microsoft.com/office/drawing/2014/chart" uri="{C3380CC4-5D6E-409C-BE32-E72D297353CC}">
              <c16:uniqueId val="{0000001C-A82C-45E6-ACB7-E0F63205AF45}"/>
            </c:ext>
          </c:extLst>
        </c:ser>
        <c:ser>
          <c:idx val="31"/>
          <c:order val="31"/>
          <c:tx>
            <c:strRef>
              <c:f>'1st Graph'!$AG$4:$AG$6</c:f>
              <c:strCache>
                <c:ptCount val="1"/>
                <c:pt idx="0">
                  <c:v>Sum of Score - White Fox</c:v>
                </c:pt>
              </c:strCache>
            </c:strRef>
          </c:tx>
          <c:spPr>
            <a:solidFill>
              <a:schemeClr val="accent1">
                <a:tint val="95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Graph'!$AG$7:$AG$56</c:f>
              <c:numCache>
                <c:formatCode>General</c:formatCode>
                <c:ptCount val="49"/>
                <c:pt idx="16">
                  <c:v>9.07</c:v>
                </c:pt>
              </c:numCache>
            </c:numRef>
          </c:val>
          <c:extLst>
            <c:ext xmlns:c16="http://schemas.microsoft.com/office/drawing/2014/chart" uri="{C3380CC4-5D6E-409C-BE32-E72D297353CC}">
              <c16:uniqueId val="{0000001D-A82C-45E6-ACB7-E0F63205AF45}"/>
            </c:ext>
          </c:extLst>
        </c:ser>
        <c:ser>
          <c:idx val="32"/>
          <c:order val="32"/>
          <c:tx>
            <c:strRef>
              <c:f>'1st Graph'!$AH$4:$AH$6</c:f>
              <c:strCache>
                <c:ptCount val="1"/>
                <c:pt idx="0">
                  <c:v>Sum of Score - Wit Studio</c:v>
                </c:pt>
              </c:strCache>
            </c:strRef>
          </c:tx>
          <c:spPr>
            <a:solidFill>
              <a:schemeClr val="accent1">
                <a:tint val="97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Graph'!$AH$7:$AH$56</c:f>
              <c:numCache>
                <c:formatCode>General</c:formatCode>
                <c:ptCount val="49"/>
                <c:pt idx="19">
                  <c:v>8.5</c:v>
                </c:pt>
                <c:pt idx="43">
                  <c:v>7.62</c:v>
                </c:pt>
                <c:pt idx="47">
                  <c:v>8.7799999999999994</c:v>
                </c:pt>
              </c:numCache>
            </c:numRef>
          </c:val>
          <c:extLst>
            <c:ext xmlns:c16="http://schemas.microsoft.com/office/drawing/2014/chart" uri="{C3380CC4-5D6E-409C-BE32-E72D297353CC}">
              <c16:uniqueId val="{0000001E-A82C-45E6-ACB7-E0F63205AF45}"/>
            </c:ext>
          </c:extLst>
        </c:ser>
        <c:ser>
          <c:idx val="33"/>
          <c:order val="33"/>
          <c:tx>
            <c:strRef>
              <c:f>'1st Graph'!$AI$4:$AI$6</c:f>
              <c:strCache>
                <c:ptCount val="1"/>
                <c:pt idx="0">
                  <c:v>Sum of Score - Wit Studio and CloverWorks</c:v>
                </c:pt>
              </c:strCache>
            </c:strRef>
          </c:tx>
          <c:spPr>
            <a:solidFill>
              <a:schemeClr val="accent1">
                <a:tint val="99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Graph'!$AI$7:$AI$56</c:f>
              <c:numCache>
                <c:formatCode>General</c:formatCode>
                <c:ptCount val="49"/>
                <c:pt idx="27">
                  <c:v>8.59</c:v>
                </c:pt>
              </c:numCache>
            </c:numRef>
          </c:val>
          <c:extLst>
            <c:ext xmlns:c16="http://schemas.microsoft.com/office/drawing/2014/chart" uri="{C3380CC4-5D6E-409C-BE32-E72D297353CC}">
              <c16:uniqueId val="{0000001F-A82C-45E6-ACB7-E0F63205AF45}"/>
            </c:ext>
          </c:extLst>
        </c:ser>
        <c:ser>
          <c:idx val="34"/>
          <c:order val="34"/>
          <c:tx>
            <c:strRef>
              <c:f>'1st Graph'!$AJ$4:$AJ$6</c:f>
              <c:strCache>
                <c:ptCount val="1"/>
                <c:pt idx="0">
                  <c:v>Sum of Members  - 8bit</c:v>
                </c:pt>
              </c:strCache>
            </c:strRef>
          </c:tx>
          <c:spPr>
            <a:solidFill>
              <a:schemeClr val="accent1">
                <a:shade val="9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Graph'!$AJ$7:$AJ$56</c:f>
              <c:numCache>
                <c:formatCode>General</c:formatCode>
                <c:ptCount val="49"/>
                <c:pt idx="45">
                  <c:v>592901</c:v>
                </c:pt>
              </c:numCache>
            </c:numRef>
          </c:val>
          <c:extLst>
            <c:ext xmlns:c16="http://schemas.microsoft.com/office/drawing/2014/chart" uri="{C3380CC4-5D6E-409C-BE32-E72D297353CC}">
              <c16:uniqueId val="{00000020-A82C-45E6-ACB7-E0F63205AF45}"/>
            </c:ext>
          </c:extLst>
        </c:ser>
        <c:ser>
          <c:idx val="35"/>
          <c:order val="35"/>
          <c:tx>
            <c:strRef>
              <c:f>'1st Graph'!$AK$4:$AK$6</c:f>
              <c:strCache>
                <c:ptCount val="1"/>
                <c:pt idx="0">
                  <c:v>Sum of Members  - A-1 Pictures</c:v>
                </c:pt>
              </c:strCache>
            </c:strRef>
          </c:tx>
          <c:spPr>
            <a:solidFill>
              <a:schemeClr val="accent1">
                <a:shade val="9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Graph'!$AK$7:$AK$56</c:f>
              <c:numCache>
                <c:formatCode>General</c:formatCode>
                <c:ptCount val="49"/>
                <c:pt idx="1">
                  <c:v>2096752</c:v>
                </c:pt>
                <c:pt idx="21">
                  <c:v>3800042</c:v>
                </c:pt>
                <c:pt idx="29">
                  <c:v>1143085</c:v>
                </c:pt>
              </c:numCache>
            </c:numRef>
          </c:val>
          <c:extLst>
            <c:ext xmlns:c16="http://schemas.microsoft.com/office/drawing/2014/chart" uri="{C3380CC4-5D6E-409C-BE32-E72D297353CC}">
              <c16:uniqueId val="{00000021-A82C-45E6-ACB7-E0F63205AF45}"/>
            </c:ext>
          </c:extLst>
        </c:ser>
        <c:ser>
          <c:idx val="36"/>
          <c:order val="36"/>
          <c:tx>
            <c:strRef>
              <c:f>'1st Graph'!$AL$4:$AL$6</c:f>
              <c:strCache>
                <c:ptCount val="1"/>
                <c:pt idx="0">
                  <c:v>Sum of Members  - Bandai Namco Pictures</c:v>
                </c:pt>
              </c:strCache>
            </c:strRef>
          </c:tx>
          <c:spPr>
            <a:solidFill>
              <a:schemeClr val="accent1">
                <a:shade val="9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Graph'!$AL$7:$AL$56</c:f>
              <c:numCache>
                <c:formatCode>General</c:formatCode>
                <c:ptCount val="49"/>
                <c:pt idx="7">
                  <c:v>3190132</c:v>
                </c:pt>
              </c:numCache>
            </c:numRef>
          </c:val>
          <c:extLst>
            <c:ext xmlns:c16="http://schemas.microsoft.com/office/drawing/2014/chart" uri="{C3380CC4-5D6E-409C-BE32-E72D297353CC}">
              <c16:uniqueId val="{00000022-A82C-45E6-ACB7-E0F63205AF45}"/>
            </c:ext>
          </c:extLst>
        </c:ser>
        <c:ser>
          <c:idx val="37"/>
          <c:order val="37"/>
          <c:tx>
            <c:strRef>
              <c:f>'1st Graph'!$AM$4:$AM$6</c:f>
              <c:strCache>
                <c:ptCount val="1"/>
                <c:pt idx="0">
                  <c:v>Sum of Members  - Bones</c:v>
                </c:pt>
              </c:strCache>
            </c:strRef>
          </c:tx>
          <c:spPr>
            <a:solidFill>
              <a:schemeClr val="accent1">
                <a:shade val="9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Graph'!$AM$7:$AM$56</c:f>
              <c:numCache>
                <c:formatCode>General</c:formatCode>
                <c:ptCount val="49"/>
                <c:pt idx="6">
                  <c:v>4660534</c:v>
                </c:pt>
                <c:pt idx="11">
                  <c:v>4053230</c:v>
                </c:pt>
                <c:pt idx="36">
                  <c:v>10835267</c:v>
                </c:pt>
                <c:pt idx="44">
                  <c:v>756621</c:v>
                </c:pt>
              </c:numCache>
            </c:numRef>
          </c:val>
          <c:extLst>
            <c:ext xmlns:c16="http://schemas.microsoft.com/office/drawing/2014/chart" uri="{C3380CC4-5D6E-409C-BE32-E72D297353CC}">
              <c16:uniqueId val="{00000023-A82C-45E6-ACB7-E0F63205AF45}"/>
            </c:ext>
          </c:extLst>
        </c:ser>
        <c:ser>
          <c:idx val="38"/>
          <c:order val="38"/>
          <c:tx>
            <c:strRef>
              <c:f>'1st Graph'!$AN$4:$AN$6</c:f>
              <c:strCache>
                <c:ptCount val="1"/>
                <c:pt idx="0">
                  <c:v>Sum of Members  - Brain's Base </c:v>
                </c:pt>
              </c:strCache>
            </c:strRef>
          </c:tx>
          <c:spPr>
            <a:solidFill>
              <a:schemeClr val="accent1">
                <a:shade val="9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Graph'!$AN$7:$AN$56</c:f>
              <c:numCache>
                <c:formatCode>General</c:formatCode>
                <c:ptCount val="49"/>
                <c:pt idx="0">
                  <c:v>3326174</c:v>
                </c:pt>
              </c:numCache>
            </c:numRef>
          </c:val>
          <c:extLst>
            <c:ext xmlns:c16="http://schemas.microsoft.com/office/drawing/2014/chart" uri="{C3380CC4-5D6E-409C-BE32-E72D297353CC}">
              <c16:uniqueId val="{00000024-A82C-45E6-ACB7-E0F63205AF45}"/>
            </c:ext>
          </c:extLst>
        </c:ser>
        <c:ser>
          <c:idx val="39"/>
          <c:order val="39"/>
          <c:tx>
            <c:strRef>
              <c:f>'1st Graph'!$AO$4:$AO$6</c:f>
              <c:strCache>
                <c:ptCount val="1"/>
                <c:pt idx="0">
                  <c:v>Sum of Members  - CloverWorks</c:v>
                </c:pt>
              </c:strCache>
            </c:strRef>
          </c:tx>
          <c:spPr>
            <a:solidFill>
              <a:schemeClr val="accent1">
                <a:shade val="8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Graph'!$AO$7:$AO$56</c:f>
              <c:numCache>
                <c:formatCode>General</c:formatCode>
                <c:ptCount val="49"/>
                <c:pt idx="17">
                  <c:v>414347</c:v>
                </c:pt>
                <c:pt idx="42">
                  <c:v>1514063</c:v>
                </c:pt>
              </c:numCache>
            </c:numRef>
          </c:val>
          <c:extLst>
            <c:ext xmlns:c16="http://schemas.microsoft.com/office/drawing/2014/chart" uri="{C3380CC4-5D6E-409C-BE32-E72D297353CC}">
              <c16:uniqueId val="{00000025-A82C-45E6-ACB7-E0F63205AF45}"/>
            </c:ext>
          </c:extLst>
        </c:ser>
        <c:ser>
          <c:idx val="40"/>
          <c:order val="40"/>
          <c:tx>
            <c:strRef>
              <c:f>'1st Graph'!$AP$4:$AP$6</c:f>
              <c:strCache>
                <c:ptCount val="1"/>
                <c:pt idx="0">
                  <c:v>Sum of Members  - David Production</c:v>
                </c:pt>
              </c:strCache>
            </c:strRef>
          </c:tx>
          <c:spPr>
            <a:solidFill>
              <a:schemeClr val="accent1">
                <a:shade val="8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Graph'!$AP$7:$AP$56</c:f>
              <c:numCache>
                <c:formatCode>General</c:formatCode>
                <c:ptCount val="49"/>
                <c:pt idx="41">
                  <c:v>2008234</c:v>
                </c:pt>
              </c:numCache>
            </c:numRef>
          </c:val>
          <c:extLst>
            <c:ext xmlns:c16="http://schemas.microsoft.com/office/drawing/2014/chart" uri="{C3380CC4-5D6E-409C-BE32-E72D297353CC}">
              <c16:uniqueId val="{00000026-A82C-45E6-ACB7-E0F63205AF45}"/>
            </c:ext>
          </c:extLst>
        </c:ser>
        <c:ser>
          <c:idx val="41"/>
          <c:order val="41"/>
          <c:tx>
            <c:strRef>
              <c:f>'1st Graph'!$AQ$4:$AQ$6</c:f>
              <c:strCache>
                <c:ptCount val="1"/>
                <c:pt idx="0">
                  <c:v>Sum of Members  - Deen </c:v>
                </c:pt>
              </c:strCache>
            </c:strRef>
          </c:tx>
          <c:spPr>
            <a:solidFill>
              <a:schemeClr val="accent1">
                <a:shade val="8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Graph'!$AQ$7:$AQ$56</c:f>
              <c:numCache>
                <c:formatCode>General</c:formatCode>
                <c:ptCount val="49"/>
                <c:pt idx="38">
                  <c:v>420950</c:v>
                </c:pt>
              </c:numCache>
            </c:numRef>
          </c:val>
          <c:extLst>
            <c:ext xmlns:c16="http://schemas.microsoft.com/office/drawing/2014/chart" uri="{C3380CC4-5D6E-409C-BE32-E72D297353CC}">
              <c16:uniqueId val="{00000027-A82C-45E6-ACB7-E0F63205AF45}"/>
            </c:ext>
          </c:extLst>
        </c:ser>
        <c:ser>
          <c:idx val="42"/>
          <c:order val="42"/>
          <c:tx>
            <c:strRef>
              <c:f>'1st Graph'!$AR$4:$AR$6</c:f>
              <c:strCache>
                <c:ptCount val="1"/>
                <c:pt idx="0">
                  <c:v>Sum of Members  - J.C.Staff</c:v>
                </c:pt>
              </c:strCache>
            </c:strRef>
          </c:tx>
          <c:spPr>
            <a:solidFill>
              <a:schemeClr val="accent1">
                <a:shade val="8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Graph'!$AR$7:$AR$56</c:f>
              <c:numCache>
                <c:formatCode>General</c:formatCode>
                <c:ptCount val="49"/>
                <c:pt idx="5">
                  <c:v>4764750</c:v>
                </c:pt>
                <c:pt idx="10">
                  <c:v>1215940</c:v>
                </c:pt>
              </c:numCache>
            </c:numRef>
          </c:val>
          <c:extLst>
            <c:ext xmlns:c16="http://schemas.microsoft.com/office/drawing/2014/chart" uri="{C3380CC4-5D6E-409C-BE32-E72D297353CC}">
              <c16:uniqueId val="{00000028-A82C-45E6-ACB7-E0F63205AF45}"/>
            </c:ext>
          </c:extLst>
        </c:ser>
        <c:ser>
          <c:idx val="43"/>
          <c:order val="43"/>
          <c:tx>
            <c:strRef>
              <c:f>'1st Graph'!$AS$4:$AS$6</c:f>
              <c:strCache>
                <c:ptCount val="1"/>
                <c:pt idx="0">
                  <c:v>Sum of Members  - Kinema Citrus</c:v>
                </c:pt>
              </c:strCache>
            </c:strRef>
          </c:tx>
          <c:spPr>
            <a:solidFill>
              <a:schemeClr val="accent1">
                <a:shade val="8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Graph'!$AS$7:$AS$56</c:f>
              <c:numCache>
                <c:formatCode>General</c:formatCode>
                <c:ptCount val="49"/>
                <c:pt idx="9">
                  <c:v>1723257</c:v>
                </c:pt>
              </c:numCache>
            </c:numRef>
          </c:val>
          <c:extLst>
            <c:ext xmlns:c16="http://schemas.microsoft.com/office/drawing/2014/chart" uri="{C3380CC4-5D6E-409C-BE32-E72D297353CC}">
              <c16:uniqueId val="{00000029-A82C-45E6-ACB7-E0F63205AF45}"/>
            </c:ext>
          </c:extLst>
        </c:ser>
        <c:ser>
          <c:idx val="44"/>
          <c:order val="44"/>
          <c:tx>
            <c:strRef>
              <c:f>'1st Graph'!$AT$4:$AT$6</c:f>
              <c:strCache>
                <c:ptCount val="1"/>
                <c:pt idx="0">
                  <c:v>Sum of Members  - Kyoto Animation</c:v>
                </c:pt>
              </c:strCache>
            </c:strRef>
          </c:tx>
          <c:spPr>
            <a:solidFill>
              <a:schemeClr val="accent1">
                <a:shade val="7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Graph'!$AT$7:$AT$56</c:f>
              <c:numCache>
                <c:formatCode>General</c:formatCode>
                <c:ptCount val="49"/>
                <c:pt idx="25">
                  <c:v>2546211</c:v>
                </c:pt>
              </c:numCache>
            </c:numRef>
          </c:val>
          <c:extLst>
            <c:ext xmlns:c16="http://schemas.microsoft.com/office/drawing/2014/chart" uri="{C3380CC4-5D6E-409C-BE32-E72D297353CC}">
              <c16:uniqueId val="{0000002A-A82C-45E6-ACB7-E0F63205AF45}"/>
            </c:ext>
          </c:extLst>
        </c:ser>
        <c:ser>
          <c:idx val="45"/>
          <c:order val="45"/>
          <c:tx>
            <c:strRef>
              <c:f>'1st Graph'!$AU$4:$AU$6</c:f>
              <c:strCache>
                <c:ptCount val="1"/>
                <c:pt idx="0">
                  <c:v>Sum of Members  - Liden Films</c:v>
                </c:pt>
              </c:strCache>
            </c:strRef>
          </c:tx>
          <c:spPr>
            <a:solidFill>
              <a:schemeClr val="accent1">
                <a:shade val="7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Graph'!$AU$7:$AU$56</c:f>
              <c:numCache>
                <c:formatCode>General</c:formatCode>
                <c:ptCount val="49"/>
                <c:pt idx="37">
                  <c:v>1185383</c:v>
                </c:pt>
                <c:pt idx="39">
                  <c:v>484059</c:v>
                </c:pt>
              </c:numCache>
            </c:numRef>
          </c:val>
          <c:extLst>
            <c:ext xmlns:c16="http://schemas.microsoft.com/office/drawing/2014/chart" uri="{C3380CC4-5D6E-409C-BE32-E72D297353CC}">
              <c16:uniqueId val="{0000002B-A82C-45E6-ACB7-E0F63205AF45}"/>
            </c:ext>
          </c:extLst>
        </c:ser>
        <c:ser>
          <c:idx val="46"/>
          <c:order val="46"/>
          <c:tx>
            <c:strRef>
              <c:f>'1st Graph'!$AV$4:$AV$6</c:f>
              <c:strCache>
                <c:ptCount val="1"/>
                <c:pt idx="0">
                  <c:v>Sum of Members  - LIDENFILMS</c:v>
                </c:pt>
              </c:strCache>
            </c:strRef>
          </c:tx>
          <c:spPr>
            <a:solidFill>
              <a:schemeClr val="accent1">
                <a:shade val="7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Graph'!$AV$7:$AV$56</c:f>
              <c:numCache>
                <c:formatCode>General</c:formatCode>
                <c:ptCount val="49"/>
                <c:pt idx="18">
                  <c:v>1494644</c:v>
                </c:pt>
              </c:numCache>
            </c:numRef>
          </c:val>
          <c:extLst>
            <c:ext xmlns:c16="http://schemas.microsoft.com/office/drawing/2014/chart" uri="{C3380CC4-5D6E-409C-BE32-E72D297353CC}">
              <c16:uniqueId val="{0000002C-A82C-45E6-ACB7-E0F63205AF45}"/>
            </c:ext>
          </c:extLst>
        </c:ser>
        <c:ser>
          <c:idx val="47"/>
          <c:order val="47"/>
          <c:tx>
            <c:strRef>
              <c:f>'1st Graph'!$AW$4:$AW$6</c:f>
              <c:strCache>
                <c:ptCount val="1"/>
                <c:pt idx="0">
                  <c:v>Sum of Members  - Mad house </c:v>
                </c:pt>
              </c:strCache>
            </c:strRef>
          </c:tx>
          <c:spPr>
            <a:solidFill>
              <a:schemeClr val="accent1">
                <a:shade val="7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Graph'!$AW$7:$AW$56</c:f>
              <c:numCache>
                <c:formatCode>General</c:formatCode>
                <c:ptCount val="49"/>
                <c:pt idx="28">
                  <c:v>1043697</c:v>
                </c:pt>
              </c:numCache>
            </c:numRef>
          </c:val>
          <c:extLst>
            <c:ext xmlns:c16="http://schemas.microsoft.com/office/drawing/2014/chart" uri="{C3380CC4-5D6E-409C-BE32-E72D297353CC}">
              <c16:uniqueId val="{0000002D-A82C-45E6-ACB7-E0F63205AF45}"/>
            </c:ext>
          </c:extLst>
        </c:ser>
        <c:ser>
          <c:idx val="48"/>
          <c:order val="48"/>
          <c:tx>
            <c:strRef>
              <c:f>'1st Graph'!$AX$4:$AX$6</c:f>
              <c:strCache>
                <c:ptCount val="1"/>
                <c:pt idx="0">
                  <c:v>Sum of Members  - Madhouse</c:v>
                </c:pt>
              </c:strCache>
            </c:strRef>
          </c:tx>
          <c:spPr>
            <a:solidFill>
              <a:schemeClr val="accent1">
                <a:shade val="7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Graph'!$AX$7:$AX$56</c:f>
              <c:numCache>
                <c:formatCode>General</c:formatCode>
                <c:ptCount val="49"/>
                <c:pt idx="14">
                  <c:v>4724772</c:v>
                </c:pt>
                <c:pt idx="20">
                  <c:v>2704285</c:v>
                </c:pt>
              </c:numCache>
            </c:numRef>
          </c:val>
          <c:extLst>
            <c:ext xmlns:c16="http://schemas.microsoft.com/office/drawing/2014/chart" uri="{C3380CC4-5D6E-409C-BE32-E72D297353CC}">
              <c16:uniqueId val="{0000002E-A82C-45E6-ACB7-E0F63205AF45}"/>
            </c:ext>
          </c:extLst>
        </c:ser>
        <c:ser>
          <c:idx val="49"/>
          <c:order val="49"/>
          <c:tx>
            <c:strRef>
              <c:f>'1st Graph'!$AY$4:$AY$6</c:f>
              <c:strCache>
                <c:ptCount val="1"/>
                <c:pt idx="0">
                  <c:v>Sum of Members  - Madhouse </c:v>
                </c:pt>
              </c:strCache>
            </c:strRef>
          </c:tx>
          <c:spPr>
            <a:solidFill>
              <a:schemeClr val="accent1">
                <a:shade val="6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Graph'!$AY$7:$AY$56</c:f>
              <c:numCache>
                <c:formatCode>General</c:formatCode>
                <c:ptCount val="49"/>
                <c:pt idx="4">
                  <c:v>3766726</c:v>
                </c:pt>
              </c:numCache>
            </c:numRef>
          </c:val>
          <c:extLst>
            <c:ext xmlns:c16="http://schemas.microsoft.com/office/drawing/2014/chart" uri="{C3380CC4-5D6E-409C-BE32-E72D297353CC}">
              <c16:uniqueId val="{0000002F-A82C-45E6-ACB7-E0F63205AF45}"/>
            </c:ext>
          </c:extLst>
        </c:ser>
        <c:ser>
          <c:idx val="50"/>
          <c:order val="50"/>
          <c:tx>
            <c:strRef>
              <c:f>'1st Graph'!$AZ$4:$AZ$6</c:f>
              <c:strCache>
                <c:ptCount val="1"/>
                <c:pt idx="0">
                  <c:v>Sum of Members  - MAPPA</c:v>
                </c:pt>
              </c:strCache>
            </c:strRef>
          </c:tx>
          <c:spPr>
            <a:solidFill>
              <a:schemeClr val="accent1">
                <a:shade val="6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Graph'!$AZ$7:$AZ$56</c:f>
              <c:numCache>
                <c:formatCode>General</c:formatCode>
                <c:ptCount val="49"/>
                <c:pt idx="48">
                  <c:v>2899568</c:v>
                </c:pt>
              </c:numCache>
            </c:numRef>
          </c:val>
          <c:extLst>
            <c:ext xmlns:c16="http://schemas.microsoft.com/office/drawing/2014/chart" uri="{C3380CC4-5D6E-409C-BE32-E72D297353CC}">
              <c16:uniqueId val="{00000030-A82C-45E6-ACB7-E0F63205AF45}"/>
            </c:ext>
          </c:extLst>
        </c:ser>
        <c:ser>
          <c:idx val="51"/>
          <c:order val="51"/>
          <c:tx>
            <c:strRef>
              <c:f>'1st Graph'!$BA$4:$BA$6</c:f>
              <c:strCache>
                <c:ptCount val="1"/>
                <c:pt idx="0">
                  <c:v>Sum of Members  - P.A Works</c:v>
                </c:pt>
              </c:strCache>
            </c:strRef>
          </c:tx>
          <c:spPr>
            <a:solidFill>
              <a:schemeClr val="accent1">
                <a:shade val="6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Graph'!$BA$7:$BA$56</c:f>
              <c:numCache>
                <c:formatCode>General</c:formatCode>
                <c:ptCount val="49"/>
                <c:pt idx="3">
                  <c:v>229007</c:v>
                </c:pt>
              </c:numCache>
            </c:numRef>
          </c:val>
          <c:extLst>
            <c:ext xmlns:c16="http://schemas.microsoft.com/office/drawing/2014/chart" uri="{C3380CC4-5D6E-409C-BE32-E72D297353CC}">
              <c16:uniqueId val="{00000031-A82C-45E6-ACB7-E0F63205AF45}"/>
            </c:ext>
          </c:extLst>
        </c:ser>
        <c:ser>
          <c:idx val="52"/>
          <c:order val="52"/>
          <c:tx>
            <c:strRef>
              <c:f>'1st Graph'!$BB$4:$BB$6</c:f>
              <c:strCache>
                <c:ptCount val="1"/>
                <c:pt idx="0">
                  <c:v>Sum of Members  - Pierrot</c:v>
                </c:pt>
              </c:strCache>
            </c:strRef>
          </c:tx>
          <c:spPr>
            <a:solidFill>
              <a:schemeClr val="accent1">
                <a:shade val="6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Graph'!$BB$7:$BB$56</c:f>
              <c:numCache>
                <c:formatCode>General</c:formatCode>
                <c:ptCount val="49"/>
                <c:pt idx="2">
                  <c:v>2366714</c:v>
                </c:pt>
                <c:pt idx="22">
                  <c:v>827002</c:v>
                </c:pt>
                <c:pt idx="35">
                  <c:v>477345</c:v>
                </c:pt>
              </c:numCache>
            </c:numRef>
          </c:val>
          <c:extLst>
            <c:ext xmlns:c16="http://schemas.microsoft.com/office/drawing/2014/chart" uri="{C3380CC4-5D6E-409C-BE32-E72D297353CC}">
              <c16:uniqueId val="{00000032-A82C-45E6-ACB7-E0F63205AF45}"/>
            </c:ext>
          </c:extLst>
        </c:ser>
        <c:ser>
          <c:idx val="53"/>
          <c:order val="53"/>
          <c:tx>
            <c:strRef>
              <c:f>'1st Graph'!$BC$4:$BC$6</c:f>
              <c:strCache>
                <c:ptCount val="1"/>
                <c:pt idx="0">
                  <c:v>Sum of Members  - Platinum Vision</c:v>
                </c:pt>
              </c:strCache>
            </c:strRef>
          </c:tx>
          <c:spPr>
            <a:solidFill>
              <a:schemeClr val="accent1">
                <a:shade val="6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Graph'!$BC$7:$BC$56</c:f>
              <c:numCache>
                <c:formatCode>General</c:formatCode>
                <c:ptCount val="49"/>
                <c:pt idx="8">
                  <c:v>459102</c:v>
                </c:pt>
              </c:numCache>
            </c:numRef>
          </c:val>
          <c:extLst>
            <c:ext xmlns:c16="http://schemas.microsoft.com/office/drawing/2014/chart" uri="{C3380CC4-5D6E-409C-BE32-E72D297353CC}">
              <c16:uniqueId val="{00000033-A82C-45E6-ACB7-E0F63205AF45}"/>
            </c:ext>
          </c:extLst>
        </c:ser>
        <c:ser>
          <c:idx val="54"/>
          <c:order val="54"/>
          <c:tx>
            <c:strRef>
              <c:f>'1st Graph'!$BD$4:$BD$6</c:f>
              <c:strCache>
                <c:ptCount val="1"/>
                <c:pt idx="0">
                  <c:v>Sum of Members  - Production I.G</c:v>
                </c:pt>
              </c:strCache>
            </c:strRef>
          </c:tx>
          <c:spPr>
            <a:solidFill>
              <a:schemeClr val="accent1">
                <a:shade val="5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Graph'!$BD$7:$BD$56</c:f>
              <c:numCache>
                <c:formatCode>General</c:formatCode>
                <c:ptCount val="49"/>
                <c:pt idx="32">
                  <c:v>5210406</c:v>
                </c:pt>
              </c:numCache>
            </c:numRef>
          </c:val>
          <c:extLst>
            <c:ext xmlns:c16="http://schemas.microsoft.com/office/drawing/2014/chart" uri="{C3380CC4-5D6E-409C-BE32-E72D297353CC}">
              <c16:uniqueId val="{00000034-A82C-45E6-ACB7-E0F63205AF45}"/>
            </c:ext>
          </c:extLst>
        </c:ser>
        <c:ser>
          <c:idx val="55"/>
          <c:order val="55"/>
          <c:tx>
            <c:strRef>
              <c:f>'1st Graph'!$BE$4:$BE$6</c:f>
              <c:strCache>
                <c:ptCount val="1"/>
                <c:pt idx="0">
                  <c:v>Sum of Members  - Shaft </c:v>
                </c:pt>
              </c:strCache>
            </c:strRef>
          </c:tx>
          <c:spPr>
            <a:solidFill>
              <a:schemeClr val="accent1">
                <a:shade val="5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Graph'!$BE$7:$BE$56</c:f>
              <c:numCache>
                <c:formatCode>General</c:formatCode>
                <c:ptCount val="49"/>
                <c:pt idx="24">
                  <c:v>1049204</c:v>
                </c:pt>
                <c:pt idx="33">
                  <c:v>2264679</c:v>
                </c:pt>
              </c:numCache>
            </c:numRef>
          </c:val>
          <c:extLst>
            <c:ext xmlns:c16="http://schemas.microsoft.com/office/drawing/2014/chart" uri="{C3380CC4-5D6E-409C-BE32-E72D297353CC}">
              <c16:uniqueId val="{00000035-A82C-45E6-ACB7-E0F63205AF45}"/>
            </c:ext>
          </c:extLst>
        </c:ser>
        <c:ser>
          <c:idx val="56"/>
          <c:order val="56"/>
          <c:tx>
            <c:strRef>
              <c:f>'1st Graph'!$BF$4:$BF$6</c:f>
              <c:strCache>
                <c:ptCount val="1"/>
                <c:pt idx="0">
                  <c:v>Sum of Members  - Shin Ei</c:v>
                </c:pt>
              </c:strCache>
            </c:strRef>
          </c:tx>
          <c:spPr>
            <a:solidFill>
              <a:schemeClr val="accent1">
                <a:shade val="5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Graph'!$BF$7:$BF$56</c:f>
              <c:numCache>
                <c:formatCode>General</c:formatCode>
                <c:ptCount val="49"/>
                <c:pt idx="31">
                  <c:v>60870</c:v>
                </c:pt>
              </c:numCache>
            </c:numRef>
          </c:val>
          <c:extLst>
            <c:ext xmlns:c16="http://schemas.microsoft.com/office/drawing/2014/chart" uri="{C3380CC4-5D6E-409C-BE32-E72D297353CC}">
              <c16:uniqueId val="{00000036-A82C-45E6-ACB7-E0F63205AF45}"/>
            </c:ext>
          </c:extLst>
        </c:ser>
        <c:ser>
          <c:idx val="57"/>
          <c:order val="57"/>
          <c:tx>
            <c:strRef>
              <c:f>'1st Graph'!$BG$4:$BG$6</c:f>
              <c:strCache>
                <c:ptCount val="1"/>
                <c:pt idx="0">
                  <c:v>Sum of Members  - Studio Pierrot</c:v>
                </c:pt>
              </c:strCache>
            </c:strRef>
          </c:tx>
          <c:spPr>
            <a:solidFill>
              <a:schemeClr val="accent1">
                <a:shade val="5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Graph'!$BG$7:$BG$56</c:f>
              <c:numCache>
                <c:formatCode>General</c:formatCode>
                <c:ptCount val="49"/>
                <c:pt idx="12">
                  <c:v>5148282</c:v>
                </c:pt>
              </c:numCache>
            </c:numRef>
          </c:val>
          <c:extLst>
            <c:ext xmlns:c16="http://schemas.microsoft.com/office/drawing/2014/chart" uri="{C3380CC4-5D6E-409C-BE32-E72D297353CC}">
              <c16:uniqueId val="{00000037-A82C-45E6-ACB7-E0F63205AF45}"/>
            </c:ext>
          </c:extLst>
        </c:ser>
        <c:ser>
          <c:idx val="58"/>
          <c:order val="58"/>
          <c:tx>
            <c:strRef>
              <c:f>'1st Graph'!$BH$4:$BH$6</c:f>
              <c:strCache>
                <c:ptCount val="1"/>
                <c:pt idx="0">
                  <c:v>Sum of Members  - studio Sunrise</c:v>
                </c:pt>
              </c:strCache>
            </c:strRef>
          </c:tx>
          <c:spPr>
            <a:solidFill>
              <a:schemeClr val="accent1">
                <a:shade val="5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Graph'!$BH$7:$BH$56</c:f>
              <c:numCache>
                <c:formatCode>General</c:formatCode>
                <c:ptCount val="49"/>
                <c:pt idx="34">
                  <c:v>1798685</c:v>
                </c:pt>
              </c:numCache>
            </c:numRef>
          </c:val>
          <c:extLst>
            <c:ext xmlns:c16="http://schemas.microsoft.com/office/drawing/2014/chart" uri="{C3380CC4-5D6E-409C-BE32-E72D297353CC}">
              <c16:uniqueId val="{00000038-A82C-45E6-ACB7-E0F63205AF45}"/>
            </c:ext>
          </c:extLst>
        </c:ser>
        <c:ser>
          <c:idx val="59"/>
          <c:order val="59"/>
          <c:tx>
            <c:strRef>
              <c:f>'1st Graph'!$BI$4:$BI$6</c:f>
              <c:strCache>
                <c:ptCount val="1"/>
                <c:pt idx="0">
                  <c:v>Sum of Members  - Sunrise </c:v>
                </c:pt>
              </c:strCache>
            </c:strRef>
          </c:tx>
          <c:spPr>
            <a:solidFill>
              <a:schemeClr val="accent1">
                <a:shade val="4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Graph'!$BI$7:$BI$56</c:f>
              <c:numCache>
                <c:formatCode>General</c:formatCode>
                <c:ptCount val="49"/>
                <c:pt idx="26">
                  <c:v>3901401</c:v>
                </c:pt>
              </c:numCache>
            </c:numRef>
          </c:val>
          <c:extLst>
            <c:ext xmlns:c16="http://schemas.microsoft.com/office/drawing/2014/chart" uri="{C3380CC4-5D6E-409C-BE32-E72D297353CC}">
              <c16:uniqueId val="{00000039-A82C-45E6-ACB7-E0F63205AF45}"/>
            </c:ext>
          </c:extLst>
        </c:ser>
        <c:ser>
          <c:idx val="60"/>
          <c:order val="60"/>
          <c:tx>
            <c:strRef>
              <c:f>'1st Graph'!$BJ$4:$BJ$6</c:f>
              <c:strCache>
                <c:ptCount val="1"/>
                <c:pt idx="0">
                  <c:v>Sum of Members  - TMS Entertainment V1 Studio</c:v>
                </c:pt>
              </c:strCache>
            </c:strRef>
          </c:tx>
          <c:spPr>
            <a:solidFill>
              <a:schemeClr val="accent1">
                <a:shade val="4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Graph'!$BJ$7:$BJ$56</c:f>
              <c:numCache>
                <c:formatCode>General</c:formatCode>
                <c:ptCount val="49"/>
                <c:pt idx="30">
                  <c:v>1024655</c:v>
                </c:pt>
              </c:numCache>
            </c:numRef>
          </c:val>
          <c:extLst>
            <c:ext xmlns:c16="http://schemas.microsoft.com/office/drawing/2014/chart" uri="{C3380CC4-5D6E-409C-BE32-E72D297353CC}">
              <c16:uniqueId val="{0000003A-A82C-45E6-ACB7-E0F63205AF45}"/>
            </c:ext>
          </c:extLst>
        </c:ser>
        <c:ser>
          <c:idx val="61"/>
          <c:order val="61"/>
          <c:tx>
            <c:strRef>
              <c:f>'1st Graph'!$BK$4:$BK$6</c:f>
              <c:strCache>
                <c:ptCount val="1"/>
                <c:pt idx="0">
                  <c:v>Sum of Members  - TMS/8PAN</c:v>
                </c:pt>
              </c:strCache>
            </c:strRef>
          </c:tx>
          <c:spPr>
            <a:solidFill>
              <a:schemeClr val="accent1">
                <a:shade val="4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Graph'!$BK$7:$BK$56</c:f>
              <c:numCache>
                <c:formatCode>General</c:formatCode>
                <c:ptCount val="49"/>
                <c:pt idx="23">
                  <c:v>1718096</c:v>
                </c:pt>
              </c:numCache>
            </c:numRef>
          </c:val>
          <c:extLst>
            <c:ext xmlns:c16="http://schemas.microsoft.com/office/drawing/2014/chart" uri="{C3380CC4-5D6E-409C-BE32-E72D297353CC}">
              <c16:uniqueId val="{0000003B-A82C-45E6-ACB7-E0F63205AF45}"/>
            </c:ext>
          </c:extLst>
        </c:ser>
        <c:ser>
          <c:idx val="62"/>
          <c:order val="62"/>
          <c:tx>
            <c:strRef>
              <c:f>'1st Graph'!$BL$4:$BL$6</c:f>
              <c:strCache>
                <c:ptCount val="1"/>
                <c:pt idx="0">
                  <c:v>Sum of Members  - Toei Animation</c:v>
                </c:pt>
              </c:strCache>
            </c:strRef>
          </c:tx>
          <c:spPr>
            <a:solidFill>
              <a:schemeClr val="accent1">
                <a:shade val="4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Graph'!$BL$7:$BL$56</c:f>
              <c:numCache>
                <c:formatCode>General</c:formatCode>
                <c:ptCount val="49"/>
                <c:pt idx="13">
                  <c:v>2226178</c:v>
                </c:pt>
                <c:pt idx="15">
                  <c:v>784856</c:v>
                </c:pt>
              </c:numCache>
            </c:numRef>
          </c:val>
          <c:extLst>
            <c:ext xmlns:c16="http://schemas.microsoft.com/office/drawing/2014/chart" uri="{C3380CC4-5D6E-409C-BE32-E72D297353CC}">
              <c16:uniqueId val="{0000003C-A82C-45E6-ACB7-E0F63205AF45}"/>
            </c:ext>
          </c:extLst>
        </c:ser>
        <c:ser>
          <c:idx val="63"/>
          <c:order val="63"/>
          <c:tx>
            <c:strRef>
              <c:f>'1st Graph'!$BM$4:$BM$6</c:f>
              <c:strCache>
                <c:ptCount val="1"/>
                <c:pt idx="0">
                  <c:v>Sum of Members  - Tokuo Movie Shinsha</c:v>
                </c:pt>
              </c:strCache>
            </c:strRef>
          </c:tx>
          <c:spPr>
            <a:solidFill>
              <a:schemeClr val="accent1">
                <a:shade val="40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Graph'!$BM$7:$BM$56</c:f>
              <c:numCache>
                <c:formatCode>General</c:formatCode>
                <c:ptCount val="49"/>
                <c:pt idx="40">
                  <c:v>38648</c:v>
                </c:pt>
              </c:numCache>
            </c:numRef>
          </c:val>
          <c:extLst>
            <c:ext xmlns:c16="http://schemas.microsoft.com/office/drawing/2014/chart" uri="{C3380CC4-5D6E-409C-BE32-E72D297353CC}">
              <c16:uniqueId val="{0000003D-A82C-45E6-ACB7-E0F63205AF45}"/>
            </c:ext>
          </c:extLst>
        </c:ser>
        <c:ser>
          <c:idx val="64"/>
          <c:order val="64"/>
          <c:tx>
            <c:strRef>
              <c:f>'1st Graph'!$BN$4:$BN$6</c:f>
              <c:strCache>
                <c:ptCount val="1"/>
                <c:pt idx="0">
                  <c:v>Sum of Members  - Ufotable</c:v>
                </c:pt>
              </c:strCache>
            </c:strRef>
          </c:tx>
          <c:spPr>
            <a:solidFill>
              <a:schemeClr val="accent1">
                <a:shade val="38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Graph'!$BN$7:$BN$56</c:f>
              <c:numCache>
                <c:formatCode>General</c:formatCode>
                <c:ptCount val="49"/>
                <c:pt idx="46">
                  <c:v>5529454</c:v>
                </c:pt>
              </c:numCache>
            </c:numRef>
          </c:val>
          <c:extLst>
            <c:ext xmlns:c16="http://schemas.microsoft.com/office/drawing/2014/chart" uri="{C3380CC4-5D6E-409C-BE32-E72D297353CC}">
              <c16:uniqueId val="{0000003E-A82C-45E6-ACB7-E0F63205AF45}"/>
            </c:ext>
          </c:extLst>
        </c:ser>
        <c:ser>
          <c:idx val="65"/>
          <c:order val="65"/>
          <c:tx>
            <c:strRef>
              <c:f>'1st Graph'!$BO$4:$BO$6</c:f>
              <c:strCache>
                <c:ptCount val="1"/>
                <c:pt idx="0">
                  <c:v>Sum of Members  - White Fox</c:v>
                </c:pt>
              </c:strCache>
            </c:strRef>
          </c:tx>
          <c:spPr>
            <a:solidFill>
              <a:schemeClr val="accent1">
                <a:shade val="36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Graph'!$BO$7:$BO$56</c:f>
              <c:numCache>
                <c:formatCode>General</c:formatCode>
                <c:ptCount val="49"/>
                <c:pt idx="16">
                  <c:v>3318180</c:v>
                </c:pt>
              </c:numCache>
            </c:numRef>
          </c:val>
          <c:extLst>
            <c:ext xmlns:c16="http://schemas.microsoft.com/office/drawing/2014/chart" uri="{C3380CC4-5D6E-409C-BE32-E72D297353CC}">
              <c16:uniqueId val="{0000003F-A82C-45E6-ACB7-E0F63205AF45}"/>
            </c:ext>
          </c:extLst>
        </c:ser>
        <c:ser>
          <c:idx val="66"/>
          <c:order val="66"/>
          <c:tx>
            <c:strRef>
              <c:f>'1st Graph'!$BP$4:$BP$6</c:f>
              <c:strCache>
                <c:ptCount val="1"/>
                <c:pt idx="0">
                  <c:v>Sum of Members  - Wit Studio</c:v>
                </c:pt>
              </c:strCache>
            </c:strRef>
          </c:tx>
          <c:spPr>
            <a:solidFill>
              <a:schemeClr val="accent1">
                <a:shade val="34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Graph'!$BP$7:$BP$56</c:f>
              <c:numCache>
                <c:formatCode>General</c:formatCode>
                <c:ptCount val="49"/>
                <c:pt idx="19">
                  <c:v>9063670</c:v>
                </c:pt>
                <c:pt idx="43">
                  <c:v>2061201</c:v>
                </c:pt>
                <c:pt idx="47">
                  <c:v>1906217</c:v>
                </c:pt>
              </c:numCache>
            </c:numRef>
          </c:val>
          <c:extLst>
            <c:ext xmlns:c16="http://schemas.microsoft.com/office/drawing/2014/chart" uri="{C3380CC4-5D6E-409C-BE32-E72D297353CC}">
              <c16:uniqueId val="{00000040-A82C-45E6-ACB7-E0F63205AF45}"/>
            </c:ext>
          </c:extLst>
        </c:ser>
        <c:ser>
          <c:idx val="67"/>
          <c:order val="67"/>
          <c:tx>
            <c:strRef>
              <c:f>'1st Graph'!$BQ$4:$BQ$6</c:f>
              <c:strCache>
                <c:ptCount val="1"/>
                <c:pt idx="0">
                  <c:v>Sum of Members  - Wit Studio and CloverWorks</c:v>
                </c:pt>
              </c:strCache>
            </c:strRef>
          </c:tx>
          <c:spPr>
            <a:solidFill>
              <a:schemeClr val="accent1">
                <a:shade val="32000"/>
              </a:schemeClr>
            </a:solidFill>
            <a:ln>
              <a:noFill/>
            </a:ln>
            <a:effectLst/>
          </c:spPr>
          <c:invertIfNegative val="0"/>
          <c:cat>
            <c:strRef>
              <c:f>'1st Graph'!$A$7:$A$56</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'1st Graph'!$BQ$7:$BQ$56</c:f>
              <c:numCache>
                <c:formatCode>General</c:formatCode>
                <c:ptCount val="49"/>
                <c:pt idx="27">
                  <c:v>868974</c:v>
                </c:pt>
              </c:numCache>
            </c:numRef>
          </c:val>
          <c:extLst>
            <c:ext xmlns:c16="http://schemas.microsoft.com/office/drawing/2014/chart" uri="{C3380CC4-5D6E-409C-BE32-E72D297353CC}">
              <c16:uniqueId val="{00000041-A82C-45E6-ACB7-E0F63205AF45}"/>
            </c:ext>
          </c:extLst>
        </c:ser>
        <c:dLbls>
          <c:showLegendKey val="0"/>
          <c:showVal val="0"/>
          <c:showCatName val="0"/>
          <c:showSerName val="0"/>
          <c:showPercent val="0"/>
          <c:showBubbleSize val="0"/>
        </c:dLbls>
        <c:gapWidth val="150"/>
        <c:overlap val="100"/>
        <c:axId val="955451384"/>
        <c:axId val="955449584"/>
      </c:barChart>
      <c:catAx>
        <c:axId val="955451384"/>
        <c:scaling>
          <c:orientation val="minMax"/>
        </c:scaling>
        <c:delete val="0"/>
        <c:axPos val="b"/>
        <c:title>
          <c:tx>
            <c:rich>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r>
                  <a:rPr lang="en-US" sz="1100" b="1">
                    <a:solidFill>
                      <a:srgbClr val="002060"/>
                    </a:solidFill>
                  </a:rPr>
                  <a:t>Titles</a:t>
                </a:r>
              </a:p>
            </c:rich>
          </c:tx>
          <c:layout>
            <c:manualLayout>
              <c:xMode val="edge"/>
              <c:yMode val="edge"/>
              <c:x val="0.47174520283410171"/>
              <c:y val="0.87430399821930382"/>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solidFill>
            <a:srgbClr val="DCF1F4"/>
          </a:solid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rgbClr val="1A4B52"/>
                </a:solidFill>
                <a:latin typeface="+mj-lt"/>
                <a:ea typeface="+mn-ea"/>
                <a:cs typeface="+mn-cs"/>
              </a:defRPr>
            </a:pPr>
            <a:endParaRPr lang="en-US"/>
          </a:p>
        </c:txPr>
        <c:crossAx val="955449584"/>
        <c:crosses val="autoZero"/>
        <c:auto val="1"/>
        <c:lblAlgn val="l"/>
        <c:lblOffset val="100"/>
        <c:noMultiLvlLbl val="0"/>
      </c:catAx>
      <c:valAx>
        <c:axId val="95544958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 Score &amp; Members</a:t>
                </a:r>
              </a:p>
            </c:rich>
          </c:tx>
          <c:layout>
            <c:manualLayout>
              <c:xMode val="edge"/>
              <c:yMode val="edge"/>
              <c:x val="1.1748187833909076E-2"/>
              <c:y val="0.2968393513917556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A4B52"/>
                </a:solidFill>
                <a:latin typeface="+mn-lt"/>
                <a:ea typeface="+mn-ea"/>
                <a:cs typeface="+mn-cs"/>
              </a:defRPr>
            </a:pPr>
            <a:endParaRPr lang="en-US"/>
          </a:p>
        </c:txPr>
        <c:crossAx val="95545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solidFill>
            <a:srgbClr val="1A4B5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.xlsx]2nd Graph!PivotTable15</c:name>
    <c:fmtId val="27"/>
  </c:pivotSource>
  <c:chart>
    <c:title>
      <c:tx>
        <c:rich>
          <a:bodyPr rot="0" spcFirstLastPara="1" vertOverflow="ellipsis" vert="horz" wrap="square" anchor="ctr" anchorCtr="1"/>
          <a:lstStyle/>
          <a:p>
            <a:pPr>
              <a:defRPr sz="1400" b="1" i="0" u="none" strike="noStrike" kern="1200" spc="0" baseline="0">
                <a:solidFill>
                  <a:srgbClr val="002060"/>
                </a:solidFill>
                <a:latin typeface="+mj-lt"/>
                <a:ea typeface="+mn-ea"/>
                <a:cs typeface="+mn-cs"/>
              </a:defRPr>
            </a:pPr>
            <a:r>
              <a:rPr lang="en-US" b="1">
                <a:solidFill>
                  <a:srgbClr val="002060"/>
                </a:solidFill>
                <a:latin typeface="+mj-lt"/>
              </a:rPr>
              <a:t>Anime Popularity </a:t>
            </a:r>
          </a:p>
        </c:rich>
      </c:tx>
      <c:layout>
        <c:manualLayout>
          <c:xMode val="edge"/>
          <c:yMode val="edge"/>
          <c:x val="0.37963602502903515"/>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B75"/>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s>
    <c:plotArea>
      <c:layout>
        <c:manualLayout>
          <c:layoutTarget val="inner"/>
          <c:xMode val="edge"/>
          <c:yMode val="edge"/>
          <c:x val="0.1299573975344209"/>
          <c:y val="0.18052410191047322"/>
          <c:w val="0.43467369691769314"/>
          <c:h val="0.71420059405113301"/>
        </c:manualLayout>
      </c:layout>
      <c:pieChart>
        <c:varyColors val="1"/>
        <c:ser>
          <c:idx val="0"/>
          <c:order val="0"/>
          <c:tx>
            <c:strRef>
              <c:f>'2nd Graph'!$B$3</c:f>
              <c:strCache>
                <c:ptCount val="1"/>
                <c:pt idx="0">
                  <c:v>Sum of Members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7-434D-8C4C-9CC6FE525D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7-434D-8C4C-9CC6FE525D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7-434D-8C4C-9CC6FE525D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D7-434D-8C4C-9CC6FE525D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D7-434D-8C4C-9CC6FE525D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4-C007-4B3C-8CA5-8C9AAE576D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D7-434D-8C4C-9CC6FE525D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D7-434D-8C4C-9CC6FE525D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D7-434D-8C4C-9CC6FE525D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D7-434D-8C4C-9CC6FE525D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D7-434D-8C4C-9CC6FE525DC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D7-434D-8C4C-9CC6FE525DC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D7-434D-8C4C-9CC6FE525DC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D7-434D-8C4C-9CC6FE525DC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D7-434D-8C4C-9CC6FE525DC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D7-434D-8C4C-9CC6FE525DC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D7-434D-8C4C-9CC6FE525DC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D7-434D-8C4C-9CC6FE525DC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D7-434D-8C4C-9CC6FE525DC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03-C007-4B3C-8CA5-8C9AAE576D3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7D7-434D-8C4C-9CC6FE525DC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7D7-434D-8C4C-9CC6FE525DC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7D7-434D-8C4C-9CC6FE525DC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7D7-434D-8C4C-9CC6FE525DC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7D7-434D-8C4C-9CC6FE525DC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7D7-434D-8C4C-9CC6FE525DC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7D7-434D-8C4C-9CC6FE525DC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7D7-434D-8C4C-9CC6FE525DC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7D7-434D-8C4C-9CC6FE525DC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7D7-434D-8C4C-9CC6FE525DC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7D7-434D-8C4C-9CC6FE525DC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7D7-434D-8C4C-9CC6FE525DC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7D7-434D-8C4C-9CC6FE525DC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07D7-434D-8C4C-9CC6FE525DC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07D7-434D-8C4C-9CC6FE525DC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07D7-434D-8C4C-9CC6FE525DC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07D7-434D-8C4C-9CC6FE525DC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07D7-434D-8C4C-9CC6FE525DC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07D7-434D-8C4C-9CC6FE525DC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07D7-434D-8C4C-9CC6FE525DC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07D7-434D-8C4C-9CC6FE525DC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07D7-434D-8C4C-9CC6FE525DC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07D7-434D-8C4C-9CC6FE525DC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07D7-434D-8C4C-9CC6FE525DC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07D7-434D-8C4C-9CC6FE525DC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07D7-434D-8C4C-9CC6FE525DC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07D7-434D-8C4C-9CC6FE525DC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07D7-434D-8C4C-9CC6FE525DC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07D7-434D-8C4C-9CC6FE525DCF}"/>
              </c:ext>
            </c:extLst>
          </c:dPt>
          <c:cat>
            <c:strRef>
              <c:f>'2nd Graph'!$A$4:$A$53</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'2nd Graph'!$B$4:$B$53</c:f>
              <c:numCache>
                <c:formatCode>General</c:formatCode>
                <c:ptCount val="49"/>
                <c:pt idx="0">
                  <c:v>3326174</c:v>
                </c:pt>
                <c:pt idx="1">
                  <c:v>2096752</c:v>
                </c:pt>
                <c:pt idx="2">
                  <c:v>2366714</c:v>
                </c:pt>
                <c:pt idx="3">
                  <c:v>229007</c:v>
                </c:pt>
                <c:pt idx="4">
                  <c:v>3766726</c:v>
                </c:pt>
                <c:pt idx="5">
                  <c:v>4764750</c:v>
                </c:pt>
                <c:pt idx="6">
                  <c:v>4660534</c:v>
                </c:pt>
                <c:pt idx="7">
                  <c:v>3190132</c:v>
                </c:pt>
                <c:pt idx="8">
                  <c:v>459102</c:v>
                </c:pt>
                <c:pt idx="9">
                  <c:v>1723257</c:v>
                </c:pt>
                <c:pt idx="10">
                  <c:v>1215940</c:v>
                </c:pt>
                <c:pt idx="11">
                  <c:v>4053230</c:v>
                </c:pt>
                <c:pt idx="12">
                  <c:v>5148282</c:v>
                </c:pt>
                <c:pt idx="13">
                  <c:v>2226178</c:v>
                </c:pt>
                <c:pt idx="14">
                  <c:v>4724772</c:v>
                </c:pt>
                <c:pt idx="15">
                  <c:v>784856</c:v>
                </c:pt>
                <c:pt idx="16">
                  <c:v>3318180</c:v>
                </c:pt>
                <c:pt idx="17">
                  <c:v>414347</c:v>
                </c:pt>
                <c:pt idx="18">
                  <c:v>1494644</c:v>
                </c:pt>
                <c:pt idx="19">
                  <c:v>9063670</c:v>
                </c:pt>
                <c:pt idx="20">
                  <c:v>2704285</c:v>
                </c:pt>
                <c:pt idx="21">
                  <c:v>3800042</c:v>
                </c:pt>
                <c:pt idx="22">
                  <c:v>827002</c:v>
                </c:pt>
                <c:pt idx="23">
                  <c:v>1718096</c:v>
                </c:pt>
                <c:pt idx="24">
                  <c:v>1049204</c:v>
                </c:pt>
                <c:pt idx="25">
                  <c:v>2546211</c:v>
                </c:pt>
                <c:pt idx="26">
                  <c:v>3901401</c:v>
                </c:pt>
                <c:pt idx="27">
                  <c:v>868974</c:v>
                </c:pt>
                <c:pt idx="28">
                  <c:v>1043697</c:v>
                </c:pt>
                <c:pt idx="29">
                  <c:v>1143085</c:v>
                </c:pt>
                <c:pt idx="30">
                  <c:v>1024655</c:v>
                </c:pt>
                <c:pt idx="31">
                  <c:v>60870</c:v>
                </c:pt>
                <c:pt idx="32">
                  <c:v>5210406</c:v>
                </c:pt>
                <c:pt idx="33">
                  <c:v>2264679</c:v>
                </c:pt>
                <c:pt idx="34">
                  <c:v>1798685</c:v>
                </c:pt>
                <c:pt idx="35">
                  <c:v>477345</c:v>
                </c:pt>
                <c:pt idx="36">
                  <c:v>10835267</c:v>
                </c:pt>
                <c:pt idx="37">
                  <c:v>1185383</c:v>
                </c:pt>
                <c:pt idx="38">
                  <c:v>420950</c:v>
                </c:pt>
                <c:pt idx="39">
                  <c:v>484059</c:v>
                </c:pt>
                <c:pt idx="40">
                  <c:v>38648</c:v>
                </c:pt>
                <c:pt idx="41">
                  <c:v>2008234</c:v>
                </c:pt>
                <c:pt idx="42">
                  <c:v>1514063</c:v>
                </c:pt>
                <c:pt idx="43">
                  <c:v>2061201</c:v>
                </c:pt>
                <c:pt idx="44">
                  <c:v>756621</c:v>
                </c:pt>
                <c:pt idx="45">
                  <c:v>592901</c:v>
                </c:pt>
                <c:pt idx="46">
                  <c:v>5529454</c:v>
                </c:pt>
                <c:pt idx="47">
                  <c:v>1906217</c:v>
                </c:pt>
                <c:pt idx="48">
                  <c:v>2899568</c:v>
                </c:pt>
              </c:numCache>
            </c:numRef>
          </c:val>
          <c:extLst>
            <c:ext xmlns:c16="http://schemas.microsoft.com/office/drawing/2014/chart" uri="{C3380CC4-5D6E-409C-BE32-E72D297353CC}">
              <c16:uniqueId val="{00000000-C007-4B3C-8CA5-8C9AAE576D3C}"/>
            </c:ext>
          </c:extLst>
        </c:ser>
        <c:ser>
          <c:idx val="1"/>
          <c:order val="1"/>
          <c:tx>
            <c:strRef>
              <c:f>'2nd Graph'!$C$3</c:f>
              <c:strCache>
                <c:ptCount val="1"/>
                <c:pt idx="0">
                  <c:v>Sum of Ranks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3-07D7-434D-8C4C-9CC6FE525D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5-07D7-434D-8C4C-9CC6FE525D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7-07D7-434D-8C4C-9CC6FE525D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9-07D7-434D-8C4C-9CC6FE525D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B-07D7-434D-8C4C-9CC6FE525D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D-07D7-434D-8C4C-9CC6FE525D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F-07D7-434D-8C4C-9CC6FE525D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1-07D7-434D-8C4C-9CC6FE525D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3-07D7-434D-8C4C-9CC6FE525D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5-07D7-434D-8C4C-9CC6FE525D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7-07D7-434D-8C4C-9CC6FE525DC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9-07D7-434D-8C4C-9CC6FE525DC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B-07D7-434D-8C4C-9CC6FE525DC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D-07D7-434D-8C4C-9CC6FE525DC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F-07D7-434D-8C4C-9CC6FE525DC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1-07D7-434D-8C4C-9CC6FE525DC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07D7-434D-8C4C-9CC6FE525DC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5-07D7-434D-8C4C-9CC6FE525DC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7-07D7-434D-8C4C-9CC6FE525DC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9-07D7-434D-8C4C-9CC6FE525DC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B-07D7-434D-8C4C-9CC6FE525DC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D-07D7-434D-8C4C-9CC6FE525DC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8F-07D7-434D-8C4C-9CC6FE525DC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1-07D7-434D-8C4C-9CC6FE525DC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3-07D7-434D-8C4C-9CC6FE525DC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5-07D7-434D-8C4C-9CC6FE525DC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97-07D7-434D-8C4C-9CC6FE525DC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99-07D7-434D-8C4C-9CC6FE525DC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9B-07D7-434D-8C4C-9CC6FE525DC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9D-07D7-434D-8C4C-9CC6FE525DC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9F-07D7-434D-8C4C-9CC6FE525DC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1-07D7-434D-8C4C-9CC6FE525DC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3-07D7-434D-8C4C-9CC6FE525DC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5-07D7-434D-8C4C-9CC6FE525DC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A7-07D7-434D-8C4C-9CC6FE525DC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A9-07D7-434D-8C4C-9CC6FE525DC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AB-07D7-434D-8C4C-9CC6FE525DC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AD-07D7-434D-8C4C-9CC6FE525DC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AF-07D7-434D-8C4C-9CC6FE525DC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1-07D7-434D-8C4C-9CC6FE525DC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3-07D7-434D-8C4C-9CC6FE525DC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5-07D7-434D-8C4C-9CC6FE525DC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B7-07D7-434D-8C4C-9CC6FE525DC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B9-07D7-434D-8C4C-9CC6FE525DC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BB-07D7-434D-8C4C-9CC6FE525DC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BD-07D7-434D-8C4C-9CC6FE525DC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BF-07D7-434D-8C4C-9CC6FE525DC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1-07D7-434D-8C4C-9CC6FE525DC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3-07D7-434D-8C4C-9CC6FE525DCF}"/>
              </c:ext>
            </c:extLst>
          </c:dPt>
          <c:cat>
            <c:strRef>
              <c:f>'2nd Graph'!$A$4:$A$53</c:f>
              <c:strCache>
                <c:ptCount val="49"/>
                <c:pt idx="0">
                  <c:v>Assassination Classroom</c:v>
                </c:pt>
                <c:pt idx="1">
                  <c:v>Black Butler</c:v>
                </c:pt>
                <c:pt idx="2">
                  <c:v>Bleach</c:v>
                </c:pt>
                <c:pt idx="3">
                  <c:v>Buddy Daddies</c:v>
                </c:pt>
                <c:pt idx="4">
                  <c:v>Death Note</c:v>
                </c:pt>
                <c:pt idx="5">
                  <c:v>Food war</c:v>
                </c:pt>
                <c:pt idx="6">
                  <c:v>Fullmetal Alchemist</c:v>
                </c:pt>
                <c:pt idx="7">
                  <c:v>Gintama</c:v>
                </c:pt>
                <c:pt idx="8">
                  <c:v>Kono oto tomare</c:v>
                </c:pt>
                <c:pt idx="9">
                  <c:v>Made in Abyss</c:v>
                </c:pt>
                <c:pt idx="10">
                  <c:v>Maid Sama</c:v>
                </c:pt>
                <c:pt idx="11">
                  <c:v>Mob Psycho</c:v>
                </c:pt>
                <c:pt idx="12">
                  <c:v>Naruto</c:v>
                </c:pt>
                <c:pt idx="13">
                  <c:v>One Piece</c:v>
                </c:pt>
                <c:pt idx="14">
                  <c:v>One puch man</c:v>
                </c:pt>
                <c:pt idx="15">
                  <c:v>Sailor Moon</c:v>
                </c:pt>
                <c:pt idx="16">
                  <c:v>Steins Gate</c:v>
                </c:pt>
                <c:pt idx="17">
                  <c:v>The Millionaire Detective</c:v>
                </c:pt>
                <c:pt idx="18">
                  <c:v>Tokyo Revengers</c:v>
                </c:pt>
                <c:pt idx="19">
                  <c:v>Shingeki no Kyojin</c:v>
                </c:pt>
                <c:pt idx="20">
                  <c:v>Hunter X Hunter</c:v>
                </c:pt>
                <c:pt idx="21">
                  <c:v>Kaguya-sama</c:v>
                </c:pt>
                <c:pt idx="22">
                  <c:v>Akatsuki No Yona</c:v>
                </c:pt>
                <c:pt idx="23">
                  <c:v>Fruits Basket</c:v>
                </c:pt>
                <c:pt idx="24">
                  <c:v>Gatsu no Lion</c:v>
                </c:pt>
                <c:pt idx="25">
                  <c:v>Clannad</c:v>
                </c:pt>
                <c:pt idx="26">
                  <c:v>Code Geass</c:v>
                </c:pt>
                <c:pt idx="27">
                  <c:v>Spy X Family</c:v>
                </c:pt>
                <c:pt idx="28">
                  <c:v>Monster</c:v>
                </c:pt>
                <c:pt idx="29">
                  <c:v>Wotakoi</c:v>
                </c:pt>
                <c:pt idx="30">
                  <c:v>Kamisama Kiss</c:v>
                </c:pt>
                <c:pt idx="31">
                  <c:v>Doraemon</c:v>
                </c:pt>
                <c:pt idx="32">
                  <c:v>Haikyuu</c:v>
                </c:pt>
                <c:pt idx="33">
                  <c:v>Monogatari</c:v>
                </c:pt>
                <c:pt idx="34">
                  <c:v>Cowboy Bebop</c:v>
                </c:pt>
                <c:pt idx="35">
                  <c:v>Kingdom</c:v>
                </c:pt>
                <c:pt idx="36">
                  <c:v>My Hero Academia</c:v>
                </c:pt>
                <c:pt idx="37">
                  <c:v>Berserk</c:v>
                </c:pt>
                <c:pt idx="38">
                  <c:v>Shouwa Genroku Rakugo Shinjuu    </c:v>
                </c:pt>
                <c:pt idx="39">
                  <c:v>Rurouni Kenshin</c:v>
                </c:pt>
                <c:pt idx="40">
                  <c:v>Glass Mask</c:v>
                </c:pt>
                <c:pt idx="41">
                  <c:v>Fire Force</c:v>
                </c:pt>
                <c:pt idx="42">
                  <c:v>Horimiya</c:v>
                </c:pt>
                <c:pt idx="43">
                  <c:v>Seraph Of the End</c:v>
                </c:pt>
                <c:pt idx="44">
                  <c:v>The Case of Vanitas</c:v>
                </c:pt>
                <c:pt idx="45">
                  <c:v>Blue Lock</c:v>
                </c:pt>
                <c:pt idx="46">
                  <c:v>Demon Slayer </c:v>
                </c:pt>
                <c:pt idx="47">
                  <c:v>Vinland Saga</c:v>
                </c:pt>
                <c:pt idx="48">
                  <c:v>Jujutsu Kaisen</c:v>
                </c:pt>
              </c:strCache>
            </c:strRef>
          </c:cat>
          <c:val>
            <c:numRef>
              <c:f>'2nd Graph'!$C$4:$C$53</c:f>
              <c:numCache>
                <c:formatCode>General</c:formatCode>
                <c:ptCount val="49"/>
                <c:pt idx="0">
                  <c:v>307</c:v>
                </c:pt>
                <c:pt idx="1">
                  <c:v>2358</c:v>
                </c:pt>
                <c:pt idx="2">
                  <c:v>685</c:v>
                </c:pt>
                <c:pt idx="3">
                  <c:v>413</c:v>
                </c:pt>
                <c:pt idx="4">
                  <c:v>75</c:v>
                </c:pt>
                <c:pt idx="5">
                  <c:v>774</c:v>
                </c:pt>
                <c:pt idx="6">
                  <c:v>452</c:v>
                </c:pt>
                <c:pt idx="7">
                  <c:v>29</c:v>
                </c:pt>
                <c:pt idx="8">
                  <c:v>427</c:v>
                </c:pt>
                <c:pt idx="9">
                  <c:v>67</c:v>
                </c:pt>
                <c:pt idx="10">
                  <c:v>586</c:v>
                </c:pt>
                <c:pt idx="11">
                  <c:v>71</c:v>
                </c:pt>
                <c:pt idx="12">
                  <c:v>449</c:v>
                </c:pt>
                <c:pt idx="13">
                  <c:v>55</c:v>
                </c:pt>
                <c:pt idx="14">
                  <c:v>950</c:v>
                </c:pt>
                <c:pt idx="15">
                  <c:v>1070</c:v>
                </c:pt>
                <c:pt idx="16">
                  <c:v>2</c:v>
                </c:pt>
                <c:pt idx="17">
                  <c:v>1660</c:v>
                </c:pt>
                <c:pt idx="18">
                  <c:v>909</c:v>
                </c:pt>
                <c:pt idx="19">
                  <c:v>58</c:v>
                </c:pt>
                <c:pt idx="20">
                  <c:v>8</c:v>
                </c:pt>
                <c:pt idx="21">
                  <c:v>84</c:v>
                </c:pt>
                <c:pt idx="22">
                  <c:v>558</c:v>
                </c:pt>
                <c:pt idx="23">
                  <c:v>144</c:v>
                </c:pt>
                <c:pt idx="24">
                  <c:v>101</c:v>
                </c:pt>
                <c:pt idx="25">
                  <c:v>308</c:v>
                </c:pt>
                <c:pt idx="26">
                  <c:v>37</c:v>
                </c:pt>
                <c:pt idx="27">
                  <c:v>169</c:v>
                </c:pt>
                <c:pt idx="28">
                  <c:v>25</c:v>
                </c:pt>
                <c:pt idx="29">
                  <c:v>682</c:v>
                </c:pt>
                <c:pt idx="30">
                  <c:v>399</c:v>
                </c:pt>
                <c:pt idx="31">
                  <c:v>910</c:v>
                </c:pt>
                <c:pt idx="32">
                  <c:v>153</c:v>
                </c:pt>
                <c:pt idx="33">
                  <c:v>1498</c:v>
                </c:pt>
                <c:pt idx="34">
                  <c:v>44</c:v>
                </c:pt>
                <c:pt idx="35">
                  <c:v>253</c:v>
                </c:pt>
                <c:pt idx="36">
                  <c:v>826</c:v>
                </c:pt>
                <c:pt idx="37">
                  <c:v>3698</c:v>
                </c:pt>
                <c:pt idx="38">
                  <c:v>72</c:v>
                </c:pt>
                <c:pt idx="39">
                  <c:v>258</c:v>
                </c:pt>
                <c:pt idx="40">
                  <c:v>431</c:v>
                </c:pt>
                <c:pt idx="41">
                  <c:v>1145</c:v>
                </c:pt>
                <c:pt idx="42">
                  <c:v>351</c:v>
                </c:pt>
                <c:pt idx="43">
                  <c:v>1578</c:v>
                </c:pt>
                <c:pt idx="44">
                  <c:v>529</c:v>
                </c:pt>
                <c:pt idx="45">
                  <c:v>230</c:v>
                </c:pt>
                <c:pt idx="46">
                  <c:v>142</c:v>
                </c:pt>
                <c:pt idx="47">
                  <c:v>38</c:v>
                </c:pt>
                <c:pt idx="48">
                  <c:v>51</c:v>
                </c:pt>
              </c:numCache>
            </c:numRef>
          </c:val>
          <c:extLst>
            <c:ext xmlns:c16="http://schemas.microsoft.com/office/drawing/2014/chart" uri="{C3380CC4-5D6E-409C-BE32-E72D297353CC}">
              <c16:uniqueId val="{00000002-C007-4B3C-8CA5-8C9AAE576D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131448341684548"/>
          <c:y val="0.2126107283464567"/>
          <c:w val="0.32360227329307412"/>
          <c:h val="0.6538045439632546"/>
        </c:manualLayout>
      </c:layout>
      <c:overlay val="0"/>
      <c:spPr>
        <a:solidFill>
          <a:srgbClr val="A5DCE3"/>
        </a:solidFill>
        <a:ln>
          <a:noFill/>
        </a:ln>
        <a:effectLst/>
      </c:spPr>
      <c:txPr>
        <a:bodyPr rot="0" spcFirstLastPara="1" vertOverflow="ellipsis" vert="horz" wrap="square" anchor="ctr" anchorCtr="1"/>
        <a:lstStyle/>
        <a:p>
          <a:pPr>
            <a:defRPr sz="900" b="0" i="0" u="none" strike="noStrike" kern="1200" baseline="0">
              <a:ln>
                <a:noFill/>
              </a:ln>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.xlsx]3rd Graph!PivotTable2</c:name>
    <c:fmtId val="15"/>
  </c:pivotSource>
  <c:chart>
    <c:title>
      <c:tx>
        <c:rich>
          <a:bodyPr rot="0" spcFirstLastPara="1" vertOverflow="ellipsis" vert="horz" wrap="square" anchor="ctr" anchorCtr="1"/>
          <a:lstStyle/>
          <a:p>
            <a:pPr>
              <a:defRPr sz="1600" b="1" i="0" u="none" strike="noStrike" kern="1200" spc="0" baseline="0">
                <a:solidFill>
                  <a:srgbClr val="1A4B52"/>
                </a:solidFill>
                <a:latin typeface="+mn-lt"/>
                <a:ea typeface="+mn-ea"/>
                <a:cs typeface="+mn-cs"/>
              </a:defRPr>
            </a:pPr>
            <a:r>
              <a:rPr lang="en-US" sz="1600" b="1">
                <a:solidFill>
                  <a:srgbClr val="1A4B52"/>
                </a:solidFill>
              </a:rPr>
              <a:t>Anime's</a:t>
            </a:r>
            <a:r>
              <a:rPr lang="en-US" sz="1600" b="1" baseline="0">
                <a:solidFill>
                  <a:srgbClr val="1A4B52"/>
                </a:solidFill>
              </a:rPr>
              <a:t> with the most selling Manga </a:t>
            </a:r>
            <a:endParaRPr lang="en-US" sz="1600" b="1">
              <a:solidFill>
                <a:srgbClr val="1A4B52"/>
              </a:solidFill>
            </a:endParaRPr>
          </a:p>
        </c:rich>
      </c:tx>
      <c:layout>
        <c:manualLayout>
          <c:xMode val="edge"/>
          <c:yMode val="edge"/>
          <c:x val="0.24971982156583908"/>
          <c:y val="2.906249717510719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1A4B5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ln w="28575" cap="rnd">
            <a:solidFill>
              <a:srgbClr val="002060"/>
            </a:solidFill>
            <a:round/>
          </a:ln>
          <a:effectLst/>
        </c:spPr>
        <c:marker>
          <c:symbol val="none"/>
        </c:marker>
      </c:pivotFmt>
    </c:pivotFmts>
    <c:plotArea>
      <c:layout>
        <c:manualLayout>
          <c:layoutTarget val="inner"/>
          <c:xMode val="edge"/>
          <c:yMode val="edge"/>
          <c:x val="8.6557547465277551E-2"/>
          <c:y val="0.1419355713515191"/>
          <c:w val="0.88740601902306426"/>
          <c:h val="0.5588993916310856"/>
        </c:manualLayout>
      </c:layout>
      <c:lineChart>
        <c:grouping val="stacked"/>
        <c:varyColors val="0"/>
        <c:ser>
          <c:idx val="0"/>
          <c:order val="0"/>
          <c:tx>
            <c:strRef>
              <c:f>'3rd Graph'!$B$3</c:f>
              <c:strCache>
                <c:ptCount val="1"/>
                <c:pt idx="0">
                  <c:v>Sum of Ranks</c:v>
                </c:pt>
              </c:strCache>
            </c:strRef>
          </c:tx>
          <c:spPr>
            <a:ln w="28575" cap="rnd">
              <a:solidFill>
                <a:schemeClr val="accent1"/>
              </a:solidFill>
              <a:round/>
            </a:ln>
            <a:effectLst/>
          </c:spPr>
          <c:marker>
            <c:symbol val="none"/>
          </c:marker>
          <c:cat>
            <c:strRef>
              <c:f>'3rd Graph'!$A$4:$A$53</c:f>
              <c:strCache>
                <c:ptCount val="49"/>
                <c:pt idx="0">
                  <c:v>Akatsuki No Yona</c:v>
                </c:pt>
                <c:pt idx="1">
                  <c:v>Assassination Classroom</c:v>
                </c:pt>
                <c:pt idx="2">
                  <c:v>Berserk</c:v>
                </c:pt>
                <c:pt idx="3">
                  <c:v>Black Butler</c:v>
                </c:pt>
                <c:pt idx="4">
                  <c:v>Bleach</c:v>
                </c:pt>
                <c:pt idx="5">
                  <c:v>Blue Lock</c:v>
                </c:pt>
                <c:pt idx="6">
                  <c:v>Buddy Daddies</c:v>
                </c:pt>
                <c:pt idx="7">
                  <c:v>Clannad</c:v>
                </c:pt>
                <c:pt idx="8">
                  <c:v>Code Geass</c:v>
                </c:pt>
                <c:pt idx="9">
                  <c:v>Cowboy Bebop</c:v>
                </c:pt>
                <c:pt idx="10">
                  <c:v>Death Note</c:v>
                </c:pt>
                <c:pt idx="11">
                  <c:v>Demon Slayer </c:v>
                </c:pt>
                <c:pt idx="12">
                  <c:v>Doraemon</c:v>
                </c:pt>
                <c:pt idx="13">
                  <c:v>Fire Force</c:v>
                </c:pt>
                <c:pt idx="14">
                  <c:v>Food war</c:v>
                </c:pt>
                <c:pt idx="15">
                  <c:v>Fruits Basket</c:v>
                </c:pt>
                <c:pt idx="16">
                  <c:v>Fullmetal Alchemist</c:v>
                </c:pt>
                <c:pt idx="17">
                  <c:v>Gatsu no Lion</c:v>
                </c:pt>
                <c:pt idx="18">
                  <c:v>Gintama</c:v>
                </c:pt>
                <c:pt idx="19">
                  <c:v>Glass Mask</c:v>
                </c:pt>
                <c:pt idx="20">
                  <c:v>Haikyuu</c:v>
                </c:pt>
                <c:pt idx="21">
                  <c:v>Horimiya</c:v>
                </c:pt>
                <c:pt idx="22">
                  <c:v>Hunter X Hunter</c:v>
                </c:pt>
                <c:pt idx="23">
                  <c:v>Jujutsu Kaisen</c:v>
                </c:pt>
                <c:pt idx="24">
                  <c:v>Kaguya-sama</c:v>
                </c:pt>
                <c:pt idx="25">
                  <c:v>Kamisama Kiss</c:v>
                </c:pt>
                <c:pt idx="26">
                  <c:v>Kingdom</c:v>
                </c:pt>
                <c:pt idx="27">
                  <c:v>Kono oto tomare</c:v>
                </c:pt>
                <c:pt idx="28">
                  <c:v>Made in Abyss</c:v>
                </c:pt>
                <c:pt idx="29">
                  <c:v>Maid Sama</c:v>
                </c:pt>
                <c:pt idx="30">
                  <c:v>Mob Psycho</c:v>
                </c:pt>
                <c:pt idx="31">
                  <c:v>Monogatari</c:v>
                </c:pt>
                <c:pt idx="32">
                  <c:v>Monster</c:v>
                </c:pt>
                <c:pt idx="33">
                  <c:v>My Hero Academia</c:v>
                </c:pt>
                <c:pt idx="34">
                  <c:v>Naruto</c:v>
                </c:pt>
                <c:pt idx="35">
                  <c:v>One Piece</c:v>
                </c:pt>
                <c:pt idx="36">
                  <c:v>One puch man</c:v>
                </c:pt>
                <c:pt idx="37">
                  <c:v>Rurouni Kenshin</c:v>
                </c:pt>
                <c:pt idx="38">
                  <c:v>Sailor Moon</c:v>
                </c:pt>
                <c:pt idx="39">
                  <c:v>Seraph Of the End</c:v>
                </c:pt>
                <c:pt idx="40">
                  <c:v>Shingeki no Kyojin</c:v>
                </c:pt>
                <c:pt idx="41">
                  <c:v>Shouwa Genroku Rakugo Shinjuu    </c:v>
                </c:pt>
                <c:pt idx="42">
                  <c:v>Spy X Family</c:v>
                </c:pt>
                <c:pt idx="43">
                  <c:v>Steins Gate</c:v>
                </c:pt>
                <c:pt idx="44">
                  <c:v>The Case of Vanitas</c:v>
                </c:pt>
                <c:pt idx="45">
                  <c:v>The Millionaire Detective</c:v>
                </c:pt>
                <c:pt idx="46">
                  <c:v>Tokyo Revengers</c:v>
                </c:pt>
                <c:pt idx="47">
                  <c:v>Vinland Saga</c:v>
                </c:pt>
                <c:pt idx="48">
                  <c:v>Wotakoi</c:v>
                </c:pt>
              </c:strCache>
            </c:strRef>
          </c:cat>
          <c:val>
            <c:numRef>
              <c:f>'3rd Graph'!$B$4:$B$53</c:f>
              <c:numCache>
                <c:formatCode>General</c:formatCode>
                <c:ptCount val="49"/>
                <c:pt idx="0">
                  <c:v>558</c:v>
                </c:pt>
                <c:pt idx="1">
                  <c:v>307</c:v>
                </c:pt>
                <c:pt idx="2">
                  <c:v>3698</c:v>
                </c:pt>
                <c:pt idx="3">
                  <c:v>2358</c:v>
                </c:pt>
                <c:pt idx="4">
                  <c:v>685</c:v>
                </c:pt>
                <c:pt idx="5">
                  <c:v>230</c:v>
                </c:pt>
                <c:pt idx="6">
                  <c:v>413</c:v>
                </c:pt>
                <c:pt idx="7">
                  <c:v>308</c:v>
                </c:pt>
                <c:pt idx="8">
                  <c:v>37</c:v>
                </c:pt>
                <c:pt idx="9">
                  <c:v>44</c:v>
                </c:pt>
                <c:pt idx="10">
                  <c:v>75</c:v>
                </c:pt>
                <c:pt idx="11">
                  <c:v>142</c:v>
                </c:pt>
                <c:pt idx="12">
                  <c:v>910</c:v>
                </c:pt>
                <c:pt idx="13">
                  <c:v>1145</c:v>
                </c:pt>
                <c:pt idx="14">
                  <c:v>774</c:v>
                </c:pt>
                <c:pt idx="15">
                  <c:v>144</c:v>
                </c:pt>
                <c:pt idx="16">
                  <c:v>452</c:v>
                </c:pt>
                <c:pt idx="17">
                  <c:v>101</c:v>
                </c:pt>
                <c:pt idx="18">
                  <c:v>29</c:v>
                </c:pt>
                <c:pt idx="19">
                  <c:v>431</c:v>
                </c:pt>
                <c:pt idx="20">
                  <c:v>153</c:v>
                </c:pt>
                <c:pt idx="21">
                  <c:v>351</c:v>
                </c:pt>
                <c:pt idx="22">
                  <c:v>8</c:v>
                </c:pt>
                <c:pt idx="23">
                  <c:v>51</c:v>
                </c:pt>
                <c:pt idx="24">
                  <c:v>84</c:v>
                </c:pt>
                <c:pt idx="25">
                  <c:v>399</c:v>
                </c:pt>
                <c:pt idx="26">
                  <c:v>253</c:v>
                </c:pt>
                <c:pt idx="27">
                  <c:v>427</c:v>
                </c:pt>
                <c:pt idx="28">
                  <c:v>67</c:v>
                </c:pt>
                <c:pt idx="29">
                  <c:v>586</c:v>
                </c:pt>
                <c:pt idx="30">
                  <c:v>71</c:v>
                </c:pt>
                <c:pt idx="31">
                  <c:v>1498</c:v>
                </c:pt>
                <c:pt idx="32">
                  <c:v>25</c:v>
                </c:pt>
                <c:pt idx="33">
                  <c:v>826</c:v>
                </c:pt>
                <c:pt idx="34">
                  <c:v>449</c:v>
                </c:pt>
                <c:pt idx="35">
                  <c:v>55</c:v>
                </c:pt>
                <c:pt idx="36">
                  <c:v>950</c:v>
                </c:pt>
                <c:pt idx="37">
                  <c:v>258</c:v>
                </c:pt>
                <c:pt idx="38">
                  <c:v>1070</c:v>
                </c:pt>
                <c:pt idx="39">
                  <c:v>1578</c:v>
                </c:pt>
                <c:pt idx="40">
                  <c:v>58</c:v>
                </c:pt>
                <c:pt idx="41">
                  <c:v>72</c:v>
                </c:pt>
                <c:pt idx="42">
                  <c:v>169</c:v>
                </c:pt>
                <c:pt idx="43">
                  <c:v>2</c:v>
                </c:pt>
                <c:pt idx="44">
                  <c:v>529</c:v>
                </c:pt>
                <c:pt idx="45">
                  <c:v>1660</c:v>
                </c:pt>
                <c:pt idx="46">
                  <c:v>909</c:v>
                </c:pt>
                <c:pt idx="47">
                  <c:v>38</c:v>
                </c:pt>
                <c:pt idx="48">
                  <c:v>682</c:v>
                </c:pt>
              </c:numCache>
            </c:numRef>
          </c:val>
          <c:smooth val="0"/>
          <c:extLst>
            <c:ext xmlns:c16="http://schemas.microsoft.com/office/drawing/2014/chart" uri="{C3380CC4-5D6E-409C-BE32-E72D297353CC}">
              <c16:uniqueId val="{00000000-F706-4118-B077-17A8B6C2D4F8}"/>
            </c:ext>
          </c:extLst>
        </c:ser>
        <c:ser>
          <c:idx val="1"/>
          <c:order val="1"/>
          <c:tx>
            <c:strRef>
              <c:f>'3rd Graph'!$C$3</c:f>
              <c:strCache>
                <c:ptCount val="1"/>
                <c:pt idx="0">
                  <c:v>Count of Approximate copies Sold</c:v>
                </c:pt>
              </c:strCache>
            </c:strRef>
          </c:tx>
          <c:spPr>
            <a:ln w="28575" cap="rnd">
              <a:solidFill>
                <a:srgbClr val="002060"/>
              </a:solidFill>
              <a:round/>
            </a:ln>
            <a:effectLst/>
          </c:spPr>
          <c:marker>
            <c:symbol val="none"/>
          </c:marker>
          <c:cat>
            <c:strRef>
              <c:f>'3rd Graph'!$A$4:$A$53</c:f>
              <c:strCache>
                <c:ptCount val="49"/>
                <c:pt idx="0">
                  <c:v>Akatsuki No Yona</c:v>
                </c:pt>
                <c:pt idx="1">
                  <c:v>Assassination Classroom</c:v>
                </c:pt>
                <c:pt idx="2">
                  <c:v>Berserk</c:v>
                </c:pt>
                <c:pt idx="3">
                  <c:v>Black Butler</c:v>
                </c:pt>
                <c:pt idx="4">
                  <c:v>Bleach</c:v>
                </c:pt>
                <c:pt idx="5">
                  <c:v>Blue Lock</c:v>
                </c:pt>
                <c:pt idx="6">
                  <c:v>Buddy Daddies</c:v>
                </c:pt>
                <c:pt idx="7">
                  <c:v>Clannad</c:v>
                </c:pt>
                <c:pt idx="8">
                  <c:v>Code Geass</c:v>
                </c:pt>
                <c:pt idx="9">
                  <c:v>Cowboy Bebop</c:v>
                </c:pt>
                <c:pt idx="10">
                  <c:v>Death Note</c:v>
                </c:pt>
                <c:pt idx="11">
                  <c:v>Demon Slayer </c:v>
                </c:pt>
                <c:pt idx="12">
                  <c:v>Doraemon</c:v>
                </c:pt>
                <c:pt idx="13">
                  <c:v>Fire Force</c:v>
                </c:pt>
                <c:pt idx="14">
                  <c:v>Food war</c:v>
                </c:pt>
                <c:pt idx="15">
                  <c:v>Fruits Basket</c:v>
                </c:pt>
                <c:pt idx="16">
                  <c:v>Fullmetal Alchemist</c:v>
                </c:pt>
                <c:pt idx="17">
                  <c:v>Gatsu no Lion</c:v>
                </c:pt>
                <c:pt idx="18">
                  <c:v>Gintama</c:v>
                </c:pt>
                <c:pt idx="19">
                  <c:v>Glass Mask</c:v>
                </c:pt>
                <c:pt idx="20">
                  <c:v>Haikyuu</c:v>
                </c:pt>
                <c:pt idx="21">
                  <c:v>Horimiya</c:v>
                </c:pt>
                <c:pt idx="22">
                  <c:v>Hunter X Hunter</c:v>
                </c:pt>
                <c:pt idx="23">
                  <c:v>Jujutsu Kaisen</c:v>
                </c:pt>
                <c:pt idx="24">
                  <c:v>Kaguya-sama</c:v>
                </c:pt>
                <c:pt idx="25">
                  <c:v>Kamisama Kiss</c:v>
                </c:pt>
                <c:pt idx="26">
                  <c:v>Kingdom</c:v>
                </c:pt>
                <c:pt idx="27">
                  <c:v>Kono oto tomare</c:v>
                </c:pt>
                <c:pt idx="28">
                  <c:v>Made in Abyss</c:v>
                </c:pt>
                <c:pt idx="29">
                  <c:v>Maid Sama</c:v>
                </c:pt>
                <c:pt idx="30">
                  <c:v>Mob Psycho</c:v>
                </c:pt>
                <c:pt idx="31">
                  <c:v>Monogatari</c:v>
                </c:pt>
                <c:pt idx="32">
                  <c:v>Monster</c:v>
                </c:pt>
                <c:pt idx="33">
                  <c:v>My Hero Academia</c:v>
                </c:pt>
                <c:pt idx="34">
                  <c:v>Naruto</c:v>
                </c:pt>
                <c:pt idx="35">
                  <c:v>One Piece</c:v>
                </c:pt>
                <c:pt idx="36">
                  <c:v>One puch man</c:v>
                </c:pt>
                <c:pt idx="37">
                  <c:v>Rurouni Kenshin</c:v>
                </c:pt>
                <c:pt idx="38">
                  <c:v>Sailor Moon</c:v>
                </c:pt>
                <c:pt idx="39">
                  <c:v>Seraph Of the End</c:v>
                </c:pt>
                <c:pt idx="40">
                  <c:v>Shingeki no Kyojin</c:v>
                </c:pt>
                <c:pt idx="41">
                  <c:v>Shouwa Genroku Rakugo Shinjuu    </c:v>
                </c:pt>
                <c:pt idx="42">
                  <c:v>Spy X Family</c:v>
                </c:pt>
                <c:pt idx="43">
                  <c:v>Steins Gate</c:v>
                </c:pt>
                <c:pt idx="44">
                  <c:v>The Case of Vanitas</c:v>
                </c:pt>
                <c:pt idx="45">
                  <c:v>The Millionaire Detective</c:v>
                </c:pt>
                <c:pt idx="46">
                  <c:v>Tokyo Revengers</c:v>
                </c:pt>
                <c:pt idx="47">
                  <c:v>Vinland Saga</c:v>
                </c:pt>
                <c:pt idx="48">
                  <c:v>Wotakoi</c:v>
                </c:pt>
              </c:strCache>
            </c:strRef>
          </c:cat>
          <c:val>
            <c:numRef>
              <c:f>'3rd Graph'!$C$4:$C$53</c:f>
              <c:numCache>
                <c:formatCode>General</c:formatCode>
                <c:ptCount val="4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numCache>
            </c:numRef>
          </c:val>
          <c:smooth val="0"/>
          <c:extLst>
            <c:ext xmlns:c16="http://schemas.microsoft.com/office/drawing/2014/chart" uri="{C3380CC4-5D6E-409C-BE32-E72D297353CC}">
              <c16:uniqueId val="{00000129-F706-4118-B077-17A8B6C2D4F8}"/>
            </c:ext>
          </c:extLst>
        </c:ser>
        <c:dLbls>
          <c:showLegendKey val="0"/>
          <c:showVal val="0"/>
          <c:showCatName val="0"/>
          <c:showSerName val="0"/>
          <c:showPercent val="0"/>
          <c:showBubbleSize val="0"/>
        </c:dLbls>
        <c:smooth val="0"/>
        <c:axId val="669324816"/>
        <c:axId val="669323376"/>
      </c:lineChart>
      <c:catAx>
        <c:axId val="66932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A4B52"/>
                </a:solidFill>
                <a:latin typeface="+mn-lt"/>
                <a:ea typeface="+mn-ea"/>
                <a:cs typeface="+mn-cs"/>
              </a:defRPr>
            </a:pPr>
            <a:endParaRPr lang="en-US"/>
          </a:p>
        </c:txPr>
        <c:crossAx val="669323376"/>
        <c:crosses val="autoZero"/>
        <c:auto val="1"/>
        <c:lblAlgn val="ctr"/>
        <c:lblOffset val="100"/>
        <c:noMultiLvlLbl val="0"/>
      </c:catAx>
      <c:valAx>
        <c:axId val="66932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rgbClr val="1A4B52"/>
                    </a:solidFill>
                    <a:latin typeface="+mn-lt"/>
                    <a:ea typeface="+mn-ea"/>
                    <a:cs typeface="+mn-cs"/>
                  </a:defRPr>
                </a:pPr>
                <a:r>
                  <a:rPr lang="en-US" sz="1050" b="1">
                    <a:solidFill>
                      <a:srgbClr val="1A4B52"/>
                    </a:solidFill>
                  </a:rPr>
                  <a:t>Sum of Ranks</a:t>
                </a:r>
                <a:r>
                  <a:rPr lang="en-US" sz="1050" b="1" baseline="0">
                    <a:solidFill>
                      <a:srgbClr val="1A4B52"/>
                    </a:solidFill>
                  </a:rPr>
                  <a:t> &amp; Sales</a:t>
                </a:r>
                <a:endParaRPr lang="en-US" sz="1050" b="1">
                  <a:solidFill>
                    <a:srgbClr val="1A4B52"/>
                  </a:solidFill>
                </a:endParaRPr>
              </a:p>
            </c:rich>
          </c:tx>
          <c:layout>
            <c:manualLayout>
              <c:xMode val="edge"/>
              <c:yMode val="edge"/>
              <c:x val="1.2309683031719847E-2"/>
              <c:y val="0.1998288491612705"/>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rgbClr val="1A4B5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A4B52"/>
                </a:solidFill>
                <a:latin typeface="+mn-lt"/>
                <a:ea typeface="+mn-ea"/>
                <a:cs typeface="+mn-cs"/>
              </a:defRPr>
            </a:pPr>
            <a:endParaRPr lang="en-US"/>
          </a:p>
        </c:txPr>
        <c:crossAx val="669324816"/>
        <c:crosses val="autoZero"/>
        <c:crossBetween val="between"/>
      </c:valAx>
      <c:spPr>
        <a:noFill/>
        <a:ln>
          <a:noFill/>
        </a:ln>
        <a:effectLst/>
      </c:spPr>
    </c:plotArea>
    <c:legend>
      <c:legendPos val="t"/>
      <c:legendEntry>
        <c:idx val="0"/>
        <c:delete val="1"/>
      </c:legendEntry>
      <c:layout>
        <c:manualLayout>
          <c:xMode val="edge"/>
          <c:yMode val="edge"/>
          <c:x val="0.70016871292934713"/>
          <c:y val="4.6265868364515128E-2"/>
          <c:w val="0.29983125957956902"/>
          <c:h val="6.9199478110470641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A4B5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Top Japanease Anime series .xlsx]4th Graph!PivotTable4</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sz="1400" b="0">
                <a:solidFill>
                  <a:schemeClr val="accent6">
                    <a:lumMod val="50000"/>
                  </a:schemeClr>
                </a:solidFill>
              </a:rPr>
              <a:t>Sum of all Movies</a:t>
            </a:r>
          </a:p>
        </c:rich>
      </c:tx>
      <c:layout>
        <c:manualLayout>
          <c:xMode val="edge"/>
          <c:yMode val="edge"/>
          <c:x val="0.3214790026246719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72363079615048109"/>
          <c:h val="0.61413568095654714"/>
        </c:manualLayout>
      </c:layout>
      <c:barChart>
        <c:barDir val="col"/>
        <c:grouping val="clustered"/>
        <c:varyColors val="0"/>
        <c:ser>
          <c:idx val="0"/>
          <c:order val="0"/>
          <c:tx>
            <c:strRef>
              <c:f>'4th Graph'!$B$3</c:f>
              <c:strCache>
                <c:ptCount val="1"/>
                <c:pt idx="0">
                  <c:v>Sum of Animated Movies</c:v>
                </c:pt>
              </c:strCache>
            </c:strRef>
          </c:tx>
          <c:spPr>
            <a:solidFill>
              <a:schemeClr val="accent6">
                <a:lumMod val="60000"/>
                <a:lumOff val="40000"/>
              </a:schemeClr>
            </a:solidFill>
            <a:ln>
              <a:noFill/>
            </a:ln>
            <a:effectLst/>
          </c:spPr>
          <c:invertIfNegative val="0"/>
          <c:cat>
            <c:strRef>
              <c:f>'4th Graph'!$A$4:$A$7</c:f>
              <c:strCache>
                <c:ptCount val="3"/>
                <c:pt idx="0">
                  <c:v>Finished</c:v>
                </c:pt>
                <c:pt idx="1">
                  <c:v>No Updates </c:v>
                </c:pt>
                <c:pt idx="2">
                  <c:v>Ongoing </c:v>
                </c:pt>
              </c:strCache>
            </c:strRef>
          </c:cat>
          <c:val>
            <c:numRef>
              <c:f>'4th Graph'!$B$4:$B$7</c:f>
              <c:numCache>
                <c:formatCode>General</c:formatCode>
                <c:ptCount val="3"/>
                <c:pt idx="0">
                  <c:v>74</c:v>
                </c:pt>
                <c:pt idx="1">
                  <c:v>4</c:v>
                </c:pt>
                <c:pt idx="2">
                  <c:v>43</c:v>
                </c:pt>
              </c:numCache>
            </c:numRef>
          </c:val>
          <c:extLst>
            <c:ext xmlns:c16="http://schemas.microsoft.com/office/drawing/2014/chart" uri="{C3380CC4-5D6E-409C-BE32-E72D297353CC}">
              <c16:uniqueId val="{00000000-BFC2-4DAE-8F9B-5A453FE75565}"/>
            </c:ext>
          </c:extLst>
        </c:ser>
        <c:ser>
          <c:idx val="1"/>
          <c:order val="1"/>
          <c:tx>
            <c:strRef>
              <c:f>'4th Graph'!$C$3</c:f>
              <c:strCache>
                <c:ptCount val="1"/>
                <c:pt idx="0">
                  <c:v>Count of Movie Score </c:v>
                </c:pt>
              </c:strCache>
            </c:strRef>
          </c:tx>
          <c:spPr>
            <a:solidFill>
              <a:schemeClr val="accent6">
                <a:lumMod val="75000"/>
              </a:schemeClr>
            </a:solidFill>
            <a:ln>
              <a:noFill/>
            </a:ln>
            <a:effectLst/>
          </c:spPr>
          <c:invertIfNegative val="0"/>
          <c:cat>
            <c:strRef>
              <c:f>'4th Graph'!$A$4:$A$7</c:f>
              <c:strCache>
                <c:ptCount val="3"/>
                <c:pt idx="0">
                  <c:v>Finished</c:v>
                </c:pt>
                <c:pt idx="1">
                  <c:v>No Updates </c:v>
                </c:pt>
                <c:pt idx="2">
                  <c:v>Ongoing </c:v>
                </c:pt>
              </c:strCache>
            </c:strRef>
          </c:cat>
          <c:val>
            <c:numRef>
              <c:f>'4th Graph'!$C$4:$C$7</c:f>
              <c:numCache>
                <c:formatCode>General</c:formatCode>
                <c:ptCount val="3"/>
                <c:pt idx="0">
                  <c:v>23</c:v>
                </c:pt>
                <c:pt idx="1">
                  <c:v>6</c:v>
                </c:pt>
                <c:pt idx="2">
                  <c:v>20</c:v>
                </c:pt>
              </c:numCache>
            </c:numRef>
          </c:val>
          <c:extLst>
            <c:ext xmlns:c16="http://schemas.microsoft.com/office/drawing/2014/chart" uri="{C3380CC4-5D6E-409C-BE32-E72D297353CC}">
              <c16:uniqueId val="{00000001-BFC2-4DAE-8F9B-5A453FE75565}"/>
            </c:ext>
          </c:extLst>
        </c:ser>
        <c:dLbls>
          <c:showLegendKey val="0"/>
          <c:showVal val="0"/>
          <c:showCatName val="0"/>
          <c:showSerName val="0"/>
          <c:showPercent val="0"/>
          <c:showBubbleSize val="0"/>
        </c:dLbls>
        <c:gapWidth val="219"/>
        <c:overlap val="-27"/>
        <c:axId val="1003879688"/>
        <c:axId val="1003881488"/>
      </c:barChart>
      <c:catAx>
        <c:axId val="1003879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solidFill>
                      <a:schemeClr val="accent6">
                        <a:lumMod val="50000"/>
                      </a:schemeClr>
                    </a:solidFill>
                  </a:rPr>
                  <a:t>Anime Status </a:t>
                </a:r>
              </a:p>
            </c:rich>
          </c:tx>
          <c:layout>
            <c:manualLayout>
              <c:xMode val="edge"/>
              <c:yMode val="edge"/>
              <c:x val="0.4008405511811023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1003881488"/>
        <c:crosses val="autoZero"/>
        <c:auto val="1"/>
        <c:lblAlgn val="ctr"/>
        <c:lblOffset val="100"/>
        <c:noMultiLvlLbl val="0"/>
      </c:catAx>
      <c:valAx>
        <c:axId val="1003881488"/>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003879688"/>
        <c:crosses val="autoZero"/>
        <c:crossBetween val="between"/>
      </c:valAx>
      <c:spPr>
        <a:noFill/>
        <a:ln>
          <a:noFill/>
        </a:ln>
        <a:effectLst/>
      </c:spPr>
    </c:plotArea>
    <c:legend>
      <c:legendPos val="r"/>
      <c:layout>
        <c:manualLayout>
          <c:xMode val="edge"/>
          <c:yMode val="edge"/>
          <c:x val="0.78735039370078741"/>
          <c:y val="0.33508165645960919"/>
          <c:w val="0.19876071741032372"/>
          <c:h val="0.2793270632837561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F1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58210</xdr:rowOff>
    </xdr:from>
    <xdr:to>
      <xdr:col>13</xdr:col>
      <xdr:colOff>476249</xdr:colOff>
      <xdr:row>26</xdr:row>
      <xdr:rowOff>68793</xdr:rowOff>
    </xdr:to>
    <xdr:graphicFrame macro="">
      <xdr:nvGraphicFramePr>
        <xdr:cNvPr id="19" name="Chart 2">
          <a:extLst>
            <a:ext uri="{FF2B5EF4-FFF2-40B4-BE49-F238E27FC236}">
              <a16:creationId xmlns:a16="http://schemas.microsoft.com/office/drawing/2014/main" id="{D8CED0A9-2141-4D35-A9D3-FAE12DFCA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64557</xdr:colOff>
      <xdr:row>13</xdr:row>
      <xdr:rowOff>58210</xdr:rowOff>
    </xdr:from>
    <xdr:to>
      <xdr:col>5</xdr:col>
      <xdr:colOff>465666</xdr:colOff>
      <xdr:row>22</xdr:row>
      <xdr:rowOff>89960</xdr:rowOff>
    </xdr:to>
    <mc:AlternateContent xmlns:mc="http://schemas.openxmlformats.org/markup-compatibility/2006" xmlns:a14="http://schemas.microsoft.com/office/drawing/2010/main">
      <mc:Choice Requires="a14">
        <xdr:graphicFrame macro="">
          <xdr:nvGraphicFramePr>
            <xdr:cNvPr id="20" name="Studio  1">
              <a:extLst>
                <a:ext uri="{FF2B5EF4-FFF2-40B4-BE49-F238E27FC236}">
                  <a16:creationId xmlns:a16="http://schemas.microsoft.com/office/drawing/2014/main" id="{F9936C36-86C5-4B79-8E3D-4932AEC66DA3}"/>
                </a:ext>
              </a:extLst>
            </xdr:cNvPr>
            <xdr:cNvGraphicFramePr/>
          </xdr:nvGraphicFramePr>
          <xdr:xfrm>
            <a:off x="0" y="0"/>
            <a:ext cx="0" cy="0"/>
          </xdr:xfrm>
          <a:graphic>
            <a:graphicData uri="http://schemas.microsoft.com/office/drawing/2010/slicer">
              <sle:slicer xmlns:sle="http://schemas.microsoft.com/office/drawing/2010/slicer" name="Studio  1"/>
            </a:graphicData>
          </a:graphic>
        </xdr:graphicFrame>
      </mc:Choice>
      <mc:Fallback xmlns="">
        <xdr:sp macro="" textlink="">
          <xdr:nvSpPr>
            <xdr:cNvPr id="0" name=""/>
            <xdr:cNvSpPr>
              <a:spLocks noTextEdit="1"/>
            </xdr:cNvSpPr>
          </xdr:nvSpPr>
          <xdr:spPr>
            <a:xfrm>
              <a:off x="1906057" y="2852210"/>
              <a:ext cx="1628776"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58210</xdr:rowOff>
    </xdr:from>
    <xdr:to>
      <xdr:col>2</xdr:col>
      <xdr:colOff>560917</xdr:colOff>
      <xdr:row>21</xdr:row>
      <xdr:rowOff>0</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9057158A-39BD-4678-BC6F-703492C9EE1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2852210"/>
              <a:ext cx="1788584" cy="1465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97367</xdr:rowOff>
    </xdr:from>
    <xdr:to>
      <xdr:col>2</xdr:col>
      <xdr:colOff>571499</xdr:colOff>
      <xdr:row>13</xdr:row>
      <xdr:rowOff>0</xdr:rowOff>
    </xdr:to>
    <mc:AlternateContent xmlns:mc="http://schemas.openxmlformats.org/markup-compatibility/2006" xmlns:a14="http://schemas.microsoft.com/office/drawing/2010/main">
      <mc:Choice Requires="a14">
        <xdr:graphicFrame macro="">
          <xdr:nvGraphicFramePr>
            <xdr:cNvPr id="2" name="Aired">
              <a:extLst>
                <a:ext uri="{FF2B5EF4-FFF2-40B4-BE49-F238E27FC236}">
                  <a16:creationId xmlns:a16="http://schemas.microsoft.com/office/drawing/2014/main" id="{4E327826-F14D-DB23-328B-1D54FB836396}"/>
                </a:ext>
              </a:extLst>
            </xdr:cNvPr>
            <xdr:cNvGraphicFramePr/>
          </xdr:nvGraphicFramePr>
          <xdr:xfrm>
            <a:off x="0" y="0"/>
            <a:ext cx="0" cy="0"/>
          </xdr:xfrm>
          <a:graphic>
            <a:graphicData uri="http://schemas.microsoft.com/office/drawing/2010/slicer">
              <sle:slicer xmlns:sle="http://schemas.microsoft.com/office/drawing/2010/slicer" name="Aired"/>
            </a:graphicData>
          </a:graphic>
        </xdr:graphicFrame>
      </mc:Choice>
      <mc:Fallback xmlns="">
        <xdr:sp macro="" textlink="">
          <xdr:nvSpPr>
            <xdr:cNvPr id="0" name=""/>
            <xdr:cNvSpPr>
              <a:spLocks noTextEdit="1"/>
            </xdr:cNvSpPr>
          </xdr:nvSpPr>
          <xdr:spPr>
            <a:xfrm>
              <a:off x="0" y="605367"/>
              <a:ext cx="1799166" cy="2188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xdr:row>
      <xdr:rowOff>97367</xdr:rowOff>
    </xdr:from>
    <xdr:to>
      <xdr:col>16</xdr:col>
      <xdr:colOff>451908</xdr:colOff>
      <xdr:row>12</xdr:row>
      <xdr:rowOff>160866</xdr:rowOff>
    </xdr:to>
    <xdr:graphicFrame macro="">
      <xdr:nvGraphicFramePr>
        <xdr:cNvPr id="3" name="Chart 2">
          <a:extLst>
            <a:ext uri="{FF2B5EF4-FFF2-40B4-BE49-F238E27FC236}">
              <a16:creationId xmlns:a16="http://schemas.microsoft.com/office/drawing/2014/main" id="{88866CBA-ABDD-469B-8C4E-404C21518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13</xdr:row>
      <xdr:rowOff>58210</xdr:rowOff>
    </xdr:from>
    <xdr:to>
      <xdr:col>20</xdr:col>
      <xdr:colOff>63499</xdr:colOff>
      <xdr:row>26</xdr:row>
      <xdr:rowOff>58210</xdr:rowOff>
    </xdr:to>
    <xdr:graphicFrame macro="">
      <xdr:nvGraphicFramePr>
        <xdr:cNvPr id="4" name="Chart 3">
          <a:extLst>
            <a:ext uri="{FF2B5EF4-FFF2-40B4-BE49-F238E27FC236}">
              <a16:creationId xmlns:a16="http://schemas.microsoft.com/office/drawing/2014/main" id="{3879A403-61A8-4E52-BFA7-2A6E09B55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xdr:row>
      <xdr:rowOff>97367</xdr:rowOff>
    </xdr:from>
    <xdr:to>
      <xdr:col>23</xdr:col>
      <xdr:colOff>0</xdr:colOff>
      <xdr:row>12</xdr:row>
      <xdr:rowOff>160867</xdr:rowOff>
    </xdr:to>
    <xdr:graphicFrame macro="">
      <xdr:nvGraphicFramePr>
        <xdr:cNvPr id="5" name="Chart 5">
          <a:extLst>
            <a:ext uri="{FF2B5EF4-FFF2-40B4-BE49-F238E27FC236}">
              <a16:creationId xmlns:a16="http://schemas.microsoft.com/office/drawing/2014/main" id="{557A0D8F-5AE9-4144-A696-180E2D1B1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633941</xdr:colOff>
      <xdr:row>8</xdr:row>
      <xdr:rowOff>27518</xdr:rowOff>
    </xdr:from>
    <xdr:to>
      <xdr:col>7</xdr:col>
      <xdr:colOff>680508</xdr:colOff>
      <xdr:row>25</xdr:row>
      <xdr:rowOff>179918</xdr:rowOff>
    </xdr:to>
    <xdr:graphicFrame macro="">
      <xdr:nvGraphicFramePr>
        <xdr:cNvPr id="8" name="Chart 7">
          <a:extLst>
            <a:ext uri="{FF2B5EF4-FFF2-40B4-BE49-F238E27FC236}">
              <a16:creationId xmlns:a16="http://schemas.microsoft.com/office/drawing/2014/main" id="{823AABDE-1C36-A4A8-7D7C-F3DB6FFB9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948267</xdr:colOff>
      <xdr:row>16</xdr:row>
      <xdr:rowOff>56092</xdr:rowOff>
    </xdr:from>
    <xdr:to>
      <xdr:col>10</xdr:col>
      <xdr:colOff>543983</xdr:colOff>
      <xdr:row>26</xdr:row>
      <xdr:rowOff>113242</xdr:rowOff>
    </xdr:to>
    <mc:AlternateContent xmlns:mc="http://schemas.openxmlformats.org/markup-compatibility/2006" xmlns:a14="http://schemas.microsoft.com/office/drawing/2010/main">
      <mc:Choice Requires="a14">
        <xdr:graphicFrame macro="">
          <xdr:nvGraphicFramePr>
            <xdr:cNvPr id="9" name="Studio ">
              <a:extLst>
                <a:ext uri="{FF2B5EF4-FFF2-40B4-BE49-F238E27FC236}">
                  <a16:creationId xmlns:a16="http://schemas.microsoft.com/office/drawing/2014/main" id="{9A68B94A-49F2-8801-A7E9-55E3BD0BC570}"/>
                </a:ext>
              </a:extLst>
            </xdr:cNvPr>
            <xdr:cNvGraphicFramePr/>
          </xdr:nvGraphicFramePr>
          <xdr:xfrm>
            <a:off x="0" y="0"/>
            <a:ext cx="0" cy="0"/>
          </xdr:xfrm>
          <a:graphic>
            <a:graphicData uri="http://schemas.microsoft.com/office/drawing/2010/slicer">
              <sle:slicer xmlns:sle="http://schemas.microsoft.com/office/drawing/2010/slicer" name="Studio "/>
            </a:graphicData>
          </a:graphic>
        </xdr:graphicFrame>
      </mc:Choice>
      <mc:Fallback xmlns="">
        <xdr:sp macro="" textlink="">
          <xdr:nvSpPr>
            <xdr:cNvPr id="0" name=""/>
            <xdr:cNvSpPr>
              <a:spLocks noTextEdit="1"/>
            </xdr:cNvSpPr>
          </xdr:nvSpPr>
          <xdr:spPr>
            <a:xfrm>
              <a:off x="8483600" y="3104092"/>
              <a:ext cx="16383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920752</xdr:colOff>
      <xdr:row>8</xdr:row>
      <xdr:rowOff>88900</xdr:rowOff>
    </xdr:from>
    <xdr:to>
      <xdr:col>10</xdr:col>
      <xdr:colOff>706968</xdr:colOff>
      <xdr:row>15</xdr:row>
      <xdr:rowOff>52917</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5EC8FC06-EE4D-28DB-8B7E-A8A90FEBFB2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456085" y="1612900"/>
              <a:ext cx="1828800" cy="1297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459549</xdr:colOff>
      <xdr:row>10</xdr:row>
      <xdr:rowOff>143526</xdr:rowOff>
    </xdr:from>
    <xdr:to>
      <xdr:col>16</xdr:col>
      <xdr:colOff>130478</xdr:colOff>
      <xdr:row>26</xdr:row>
      <xdr:rowOff>27921</xdr:rowOff>
    </xdr:to>
    <xdr:graphicFrame macro="">
      <xdr:nvGraphicFramePr>
        <xdr:cNvPr id="2" name="Chart 5">
          <a:extLst>
            <a:ext uri="{FF2B5EF4-FFF2-40B4-BE49-F238E27FC236}">
              <a16:creationId xmlns:a16="http://schemas.microsoft.com/office/drawing/2014/main" id="{3BFE35D2-FA4F-48E3-2729-054E52925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160420</xdr:colOff>
      <xdr:row>2</xdr:row>
      <xdr:rowOff>40104</xdr:rowOff>
    </xdr:from>
    <xdr:to>
      <xdr:col>13</xdr:col>
      <xdr:colOff>350921</xdr:colOff>
      <xdr:row>19</xdr:row>
      <xdr:rowOff>120314</xdr:rowOff>
    </xdr:to>
    <xdr:graphicFrame macro="">
      <xdr:nvGraphicFramePr>
        <xdr:cNvPr id="2" name="Chart 1">
          <a:extLst>
            <a:ext uri="{FF2B5EF4-FFF2-40B4-BE49-F238E27FC236}">
              <a16:creationId xmlns:a16="http://schemas.microsoft.com/office/drawing/2014/main" id="{6C9F5209-F69F-67C7-A17E-985D30DD2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3</xdr:row>
      <xdr:rowOff>180975</xdr:rowOff>
    </xdr:from>
    <xdr:to>
      <xdr:col>9</xdr:col>
      <xdr:colOff>219075</xdr:colOff>
      <xdr:row>18</xdr:row>
      <xdr:rowOff>66675</xdr:rowOff>
    </xdr:to>
    <xdr:graphicFrame macro="">
      <xdr:nvGraphicFramePr>
        <xdr:cNvPr id="2" name="Chart 1">
          <a:extLst>
            <a:ext uri="{FF2B5EF4-FFF2-40B4-BE49-F238E27FC236}">
              <a16:creationId xmlns:a16="http://schemas.microsoft.com/office/drawing/2014/main" id="{FA8184F2-2148-EF12-011D-1F900D6C9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85.770258796299" createdVersion="8" refreshedVersion="8" minRefreshableVersion="3" recordCount="49" xr:uid="{DE5CEC25-A14D-42DF-8718-2613035791A3}">
  <cacheSource type="worksheet">
    <worksheetSource name="Table1"/>
  </cacheSource>
  <cacheFields count="13">
    <cacheField name="Ranks" numFmtId="1">
      <sharedItems containsSemiMixedTypes="0" containsString="0" containsNumber="1" containsInteger="1" minValue="2" maxValue="3698"/>
    </cacheField>
    <cacheField name="Titles" numFmtId="0">
      <sharedItems count="49">
        <s v="Fullmetal Alchemist"/>
        <s v="Steins Gate"/>
        <s v="Bleach"/>
        <s v="Shingeki no Kyojin"/>
        <s v="Gintama"/>
        <s v="Hunter X Hunter"/>
        <s v="Kaguya-sama"/>
        <s v="Akatsuki No Yona"/>
        <s v="Fruits Basket"/>
        <s v="Gatsu no Lion"/>
        <s v="Clannad"/>
        <s v="Code Geass"/>
        <s v="Spy X Family"/>
        <s v="Monster"/>
        <s v="Demon Slayer "/>
        <s v="Wotakoi"/>
        <s v="Kamisama Kiss"/>
        <s v="Vinland Saga"/>
        <s v="Jujutsu Kaisen"/>
        <s v="Assassination Classroom"/>
        <s v="Black Butler"/>
        <s v="One Piece"/>
        <s v="Doraemon"/>
        <s v="Kono oto tomare"/>
        <s v="Haikyuu"/>
        <s v="Sailor Moon"/>
        <s v="Monogatari"/>
        <s v="Death Note"/>
        <s v="Cowboy Bebop"/>
        <s v="Kingdom"/>
        <s v="My Hero Academia"/>
        <s v="Berserk"/>
        <s v="Shouwa Genroku Rakugo Shinjuu    "/>
        <s v="Mob Psycho"/>
        <s v="Rurouni Kenshin"/>
        <s v="Glass Mask"/>
        <s v="Fire Force"/>
        <s v="Horimiya"/>
        <s v="Maid Sama"/>
        <s v="Seraph Of the End"/>
        <s v="The Case of Vanitas"/>
        <s v="The Millionaire Detective"/>
        <s v="Tokyo Revengers"/>
        <s v="Food war"/>
        <s v="Made in Abyss"/>
        <s v="One puch man"/>
        <s v="Naruto"/>
        <s v="Blue Lock"/>
        <s v="Buddy Daddies"/>
      </sharedItems>
    </cacheField>
    <cacheField name="Genre" numFmtId="0">
      <sharedItems/>
    </cacheField>
    <cacheField name="Total Seasons " numFmtId="0">
      <sharedItems containsSemiMixedTypes="0" containsString="0" containsNumber="1" containsInteger="1" minValue="1" maxValue="20"/>
    </cacheField>
    <cacheField name="Total Episodes " numFmtId="1">
      <sharedItems containsSemiMixedTypes="0" containsString="0" containsNumber="1" containsInteger="1" minValue="11" maxValue="1787"/>
    </cacheField>
    <cacheField name="Score" numFmtId="0">
      <sharedItems containsSemiMixedTypes="0" containsString="0" containsNumber="1" minValue="7.53" maxValue="9.07"/>
    </cacheField>
    <cacheField name="Aired" numFmtId="166">
      <sharedItems count="45">
        <s v="2003-10"/>
        <s v="2011-18"/>
        <s v="2004-23"/>
        <s v="2013-23"/>
        <s v="2006-18"/>
        <s v="2011-23"/>
        <s v="2019-23"/>
        <s v="2014-15"/>
        <s v="2019-21"/>
        <s v="2016-18"/>
        <s v="2007-09"/>
        <s v="2006-08"/>
        <s v="2022-23"/>
        <s v="2004-05"/>
        <s v="2018-23"/>
        <s v="2012-15"/>
        <s v="2019-23 "/>
        <s v="2020-23"/>
        <s v="2015-16"/>
        <s v="2008-23"/>
        <s v="1999-2023"/>
        <s v="1979-2005"/>
        <s v="2019-19"/>
        <s v="2014-23"/>
        <s v="1994-97"/>
        <s v="2009-19"/>
        <s v="2006-07"/>
        <s v="1998-99"/>
        <s v="2012-23"/>
        <s v="2016-23"/>
        <s v="1997-98"/>
        <s v="2016-17"/>
        <s v="2016-22"/>
        <s v="1996-23"/>
        <s v="2005-06"/>
        <s v="2021-23"/>
        <s v="2010-10"/>
        <s v="2015-15"/>
        <s v="2021-22"/>
        <s v="2020-20"/>
        <s v="2015-20"/>
        <s v="2017-23"/>
        <s v="2015-23"/>
        <s v="2002-17"/>
        <s v="2023-23"/>
      </sharedItems>
    </cacheField>
    <cacheField name="Status" numFmtId="0">
      <sharedItems count="3">
        <s v="Finished"/>
        <s v="Ongoing "/>
        <s v="No Updates "/>
      </sharedItems>
    </cacheField>
    <cacheField name="Animated Movies" numFmtId="1">
      <sharedItems containsSemiMixedTypes="0" containsString="0" containsNumber="1" containsInteger="1" minValue="0" maxValue="42"/>
    </cacheField>
    <cacheField name="Movie Score " numFmtId="0">
      <sharedItems containsMixedTypes="1" containsNumber="1" minValue="7.2750000000000004" maxValue="8.83"/>
    </cacheField>
    <cacheField name="Studio " numFmtId="0">
      <sharedItems count="34">
        <s v="Bones"/>
        <s v="White Fox"/>
        <s v="Pierrot"/>
        <s v="Wit Studio"/>
        <s v="Bandai Namco Pictures"/>
        <s v="Madhouse"/>
        <s v="A-1 Pictures"/>
        <s v="TMS/8PAN"/>
        <s v="Shaft "/>
        <s v="Kyoto Animation"/>
        <s v="Sunrise "/>
        <s v="Wit Studio and CloverWorks"/>
        <s v="Mad house "/>
        <s v="Ufotable"/>
        <s v="TMS Entertainment V1 Studio"/>
        <s v="MAPPA"/>
        <s v="Brain's Base "/>
        <s v="Toei Animation"/>
        <s v="Shin Ei"/>
        <s v="Platinum Vision"/>
        <s v="Production I.G"/>
        <s v="Madhouse "/>
        <s v="studio Sunrise"/>
        <s v="Liden Films"/>
        <s v="Deen "/>
        <s v="Tokuo Movie Shinsha"/>
        <s v="David Production"/>
        <s v="CloverWorks"/>
        <s v="J.C.Staff"/>
        <s v="LIDENFILMS"/>
        <s v="Kinema Citrus"/>
        <s v="Studio Pierrot"/>
        <s v="8bit"/>
        <s v="P.A Works"/>
      </sharedItems>
    </cacheField>
    <cacheField name="Approximate copies Sold" numFmtId="2">
      <sharedItems/>
    </cacheField>
    <cacheField name="Members " numFmtId="165">
      <sharedItems containsSemiMixedTypes="0" containsString="0" containsNumber="1" containsInteger="1" minValue="38648" maxValue="10835267"/>
    </cacheField>
  </cacheFields>
  <extLst>
    <ext xmlns:x14="http://schemas.microsoft.com/office/spreadsheetml/2009/9/main" uri="{725AE2AE-9491-48be-B2B4-4EB974FC3084}">
      <x14:pivotCacheDefinition pivotCacheId="1871958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452"/>
    <x v="0"/>
    <s v="Adventure Dark fantasy Steampunk"/>
    <n v="2"/>
    <n v="115"/>
    <n v="8.1"/>
    <x v="0"/>
    <x v="0"/>
    <n v="2"/>
    <n v="7.3849999999999998"/>
    <x v="0"/>
    <s v="80 million"/>
    <n v="4660534"/>
  </r>
  <r>
    <n v="2"/>
    <x v="1"/>
    <s v="Psychological thriller Science fiction"/>
    <n v="2"/>
    <n v="47"/>
    <n v="9.07"/>
    <x v="1"/>
    <x v="0"/>
    <n v="1"/>
    <n v="8.4499999999999993"/>
    <x v="1"/>
    <s v="1.60 million"/>
    <n v="3318180"/>
  </r>
  <r>
    <n v="685"/>
    <x v="2"/>
    <s v="Adventure Martial arts Supernautral "/>
    <n v="17"/>
    <n v="379"/>
    <n v="7.9"/>
    <x v="2"/>
    <x v="1"/>
    <n v="4"/>
    <n v="7.4950000000000001"/>
    <x v="2"/>
    <s v="130 million"/>
    <n v="2366714"/>
  </r>
  <r>
    <n v="58"/>
    <x v="3"/>
    <s v="Action Fiction "/>
    <n v="4"/>
    <n v="88"/>
    <n v="8.5"/>
    <x v="3"/>
    <x v="1"/>
    <n v="2"/>
    <n v="7.8049999999999997"/>
    <x v="3"/>
    <s v="110 million "/>
    <n v="9063670"/>
  </r>
  <r>
    <n v="29"/>
    <x v="4"/>
    <s v="Science fiction human drama pseudo-historical comedy"/>
    <n v="9"/>
    <n v="367"/>
    <n v="8.9"/>
    <x v="4"/>
    <x v="0"/>
    <n v="2"/>
    <n v="8.7149999999999999"/>
    <x v="4"/>
    <s v="55+ million"/>
    <n v="3190132"/>
  </r>
  <r>
    <n v="8"/>
    <x v="5"/>
    <s v="Adventure Fantasy Martial art"/>
    <n v="6"/>
    <n v="148"/>
    <n v="9.0399999999999991"/>
    <x v="5"/>
    <x v="1"/>
    <n v="2"/>
    <n v="7.2750000000000004"/>
    <x v="5"/>
    <s v="84 million"/>
    <n v="2704285"/>
  </r>
  <r>
    <n v="84"/>
    <x v="6"/>
    <s v="Psychological Romantic comedy Slice of life"/>
    <n v="3"/>
    <n v="37"/>
    <n v="8.4"/>
    <x v="6"/>
    <x v="1"/>
    <n v="1"/>
    <n v="8.83"/>
    <x v="6"/>
    <s v="22 million"/>
    <n v="3800042"/>
  </r>
  <r>
    <n v="558"/>
    <x v="7"/>
    <s v="Adventure Epic fantasy Romance"/>
    <n v="1"/>
    <n v="24"/>
    <n v="8.3000000000000007"/>
    <x v="7"/>
    <x v="0"/>
    <n v="0"/>
    <s v="NULL "/>
    <x v="2"/>
    <s v="1.50+ million"/>
    <n v="827002"/>
  </r>
  <r>
    <n v="144"/>
    <x v="8"/>
    <s v="Shojo manga "/>
    <n v="3"/>
    <n v="63"/>
    <n v="8.99"/>
    <x v="8"/>
    <x v="0"/>
    <n v="1"/>
    <n v="8.43"/>
    <x v="7"/>
    <s v="30 million"/>
    <n v="1718096"/>
  </r>
  <r>
    <n v="101"/>
    <x v="9"/>
    <s v="Drama, Slice of Life"/>
    <n v="2"/>
    <n v="44"/>
    <n v="8.3800000000000008"/>
    <x v="9"/>
    <x v="2"/>
    <n v="1"/>
    <n v="8.43"/>
    <x v="8"/>
    <s v="No Info"/>
    <n v="1049204"/>
  </r>
  <r>
    <n v="308"/>
    <x v="10"/>
    <s v="Fantasy drama "/>
    <n v="2"/>
    <n v="47"/>
    <n v="8.93"/>
    <x v="10"/>
    <x v="0"/>
    <n v="0"/>
    <s v="NULL "/>
    <x v="9"/>
    <s v="18.9 million"/>
    <n v="2546211"/>
  </r>
  <r>
    <n v="37"/>
    <x v="11"/>
    <s v="Action Fiction Fantasy Thriller Action alternate history "/>
    <n v="2"/>
    <n v="50"/>
    <n v="8.6999999999999993"/>
    <x v="11"/>
    <x v="0"/>
    <n v="5"/>
    <n v="7.2880000000000011"/>
    <x v="10"/>
    <s v="17.44 million"/>
    <n v="3901401"/>
  </r>
  <r>
    <n v="169"/>
    <x v="12"/>
    <s v="Action, Award Winning, Comedy"/>
    <n v="2"/>
    <n v="23"/>
    <n v="8.59"/>
    <x v="12"/>
    <x v="1"/>
    <n v="0"/>
    <s v="NULL "/>
    <x v="11"/>
    <s v="27 million"/>
    <n v="868974"/>
  </r>
  <r>
    <n v="25"/>
    <x v="13"/>
    <s v="Drama Mystery Suspense "/>
    <n v="1"/>
    <n v="74"/>
    <n v="8.8699999999999992"/>
    <x v="13"/>
    <x v="0"/>
    <n v="0"/>
    <s v="NULL "/>
    <x v="12"/>
    <s v="20 million "/>
    <n v="1043697"/>
  </r>
  <r>
    <n v="142"/>
    <x v="14"/>
    <s v="Action fantasy "/>
    <n v="4"/>
    <n v="55"/>
    <n v="8.5"/>
    <x v="6"/>
    <x v="1"/>
    <n v="2"/>
    <n v="8.1349999999999998"/>
    <x v="13"/>
    <s v="150 million"/>
    <n v="5529454"/>
  </r>
  <r>
    <n v="682"/>
    <x v="15"/>
    <s v="Romantic comedy"/>
    <n v="1"/>
    <n v="14"/>
    <n v="7.94"/>
    <x v="14"/>
    <x v="1"/>
    <n v="0"/>
    <s v="NULL "/>
    <x v="6"/>
    <s v="10 million"/>
    <n v="1143085"/>
  </r>
  <r>
    <n v="399"/>
    <x v="16"/>
    <s v="Shojo Manga Romantic coedy Romance fantasy "/>
    <n v="2"/>
    <n v="25"/>
    <n v="8.1"/>
    <x v="15"/>
    <x v="0"/>
    <n v="0"/>
    <s v="NULL "/>
    <x v="14"/>
    <s v="No Info"/>
    <n v="1024655"/>
  </r>
  <r>
    <n v="38"/>
    <x v="17"/>
    <s v="Adventure Fiction Historical Fiction "/>
    <n v="2"/>
    <n v="48"/>
    <n v="8.7799999999999994"/>
    <x v="16"/>
    <x v="2"/>
    <n v="0"/>
    <s v="NULL "/>
    <x v="3"/>
    <s v="11.6 million"/>
    <n v="1906217"/>
  </r>
  <r>
    <n v="51"/>
    <x v="18"/>
    <s v="Magic Dark Fantasy "/>
    <n v="2"/>
    <n v="47"/>
    <n v="8.7249999999999996"/>
    <x v="17"/>
    <x v="1"/>
    <n v="1"/>
    <n v="8.4700000000000006"/>
    <x v="15"/>
    <s v="80 million"/>
    <n v="2899568"/>
  </r>
  <r>
    <n v="307"/>
    <x v="19"/>
    <s v="Action Science fiction comedy"/>
    <n v="2"/>
    <n v="48"/>
    <n v="8.2899999999999991"/>
    <x v="18"/>
    <x v="0"/>
    <n v="1"/>
    <n v="7.34"/>
    <x v="16"/>
    <s v="8 million"/>
    <n v="3326174"/>
  </r>
  <r>
    <n v="2358"/>
    <x v="20"/>
    <s v="Horror, Comedy, Fantasy, Mystery, Thriller, Historical Fiction "/>
    <n v="3"/>
    <n v="46"/>
    <n v="7.7"/>
    <x v="19"/>
    <x v="1"/>
    <n v="1"/>
    <n v="8.25"/>
    <x v="6"/>
    <s v="34 million"/>
    <n v="2096752"/>
  </r>
  <r>
    <n v="55"/>
    <x v="21"/>
    <s v="Adventure Fantasy"/>
    <n v="20"/>
    <n v="1071"/>
    <n v="8.6999999999999993"/>
    <x v="20"/>
    <x v="1"/>
    <n v="15"/>
    <n v="8.6"/>
    <x v="17"/>
    <s v="516.6 million"/>
    <n v="2226178"/>
  </r>
  <r>
    <n v="910"/>
    <x v="22"/>
    <s v="Comedy, science fiction"/>
    <n v="17"/>
    <n v="1787"/>
    <n v="7.81"/>
    <x v="21"/>
    <x v="0"/>
    <n v="42"/>
    <n v="7.54"/>
    <x v="18"/>
    <s v="250 million"/>
    <n v="60870"/>
  </r>
  <r>
    <n v="427"/>
    <x v="23"/>
    <s v="Shonen Manga "/>
    <n v="2"/>
    <n v="26"/>
    <n v="8.1750000000000007"/>
    <x v="22"/>
    <x v="2"/>
    <n v="0"/>
    <s v="NULL "/>
    <x v="19"/>
    <s v="5.5 million "/>
    <n v="459102"/>
  </r>
  <r>
    <n v="153"/>
    <x v="24"/>
    <s v="Shonen Manga "/>
    <n v="4"/>
    <n v="100"/>
    <n v="8.36"/>
    <x v="23"/>
    <x v="1"/>
    <n v="4"/>
    <n v="8.1"/>
    <x v="20"/>
    <s v="55 million"/>
    <n v="5210406"/>
  </r>
  <r>
    <n v="1070"/>
    <x v="25"/>
    <s v="Magical Girls "/>
    <n v="4"/>
    <n v="200"/>
    <n v="7.73"/>
    <x v="24"/>
    <x v="0"/>
    <n v="3"/>
    <n v="7.669999999999999"/>
    <x v="17"/>
    <s v="46 million"/>
    <n v="784856"/>
  </r>
  <r>
    <n v="1498"/>
    <x v="26"/>
    <s v="Mystery Paranormal Psychological"/>
    <n v="6"/>
    <n v="42"/>
    <n v="8.33"/>
    <x v="25"/>
    <x v="0"/>
    <n v="3"/>
    <n v="8.5766666666666662"/>
    <x v="8"/>
    <s v="4.5 million"/>
    <n v="2264679"/>
  </r>
  <r>
    <n v="75"/>
    <x v="27"/>
    <s v="Drama   Psychological   Supernatural   Thriller  "/>
    <n v="1"/>
    <n v="37"/>
    <n v="8.6199999999999992"/>
    <x v="26"/>
    <x v="0"/>
    <n v="0"/>
    <s v="NULL "/>
    <x v="21"/>
    <s v="30+ million "/>
    <n v="3766726"/>
  </r>
  <r>
    <n v="44"/>
    <x v="28"/>
    <s v="Drama, Adventure, Action Fiction, Space Opera, Thriller "/>
    <n v="1"/>
    <n v="26"/>
    <n v="8.75"/>
    <x v="27"/>
    <x v="0"/>
    <n v="1"/>
    <n v="8.3800000000000008"/>
    <x v="22"/>
    <s v="1+ million "/>
    <n v="1798685"/>
  </r>
  <r>
    <n v="253"/>
    <x v="29"/>
    <s v="Action"/>
    <n v="4"/>
    <n v="129"/>
    <n v="9"/>
    <x v="28"/>
    <x v="1"/>
    <n v="0"/>
    <s v="NULL "/>
    <x v="2"/>
    <s v="99 million"/>
    <n v="477345"/>
  </r>
  <r>
    <n v="826"/>
    <x v="30"/>
    <s v="Adventure Fiction, Superhero Fiction, Science Fantasy "/>
    <n v="6"/>
    <n v="146"/>
    <n v="8.34"/>
    <x v="29"/>
    <x v="1"/>
    <n v="3"/>
    <n v="7.7"/>
    <x v="0"/>
    <s v="85 million "/>
    <n v="10835267"/>
  </r>
  <r>
    <n v="3698"/>
    <x v="31"/>
    <s v="Seinen Manga, Fantasy "/>
    <n v="4"/>
    <n v="37"/>
    <n v="7.6559999999999997"/>
    <x v="30"/>
    <x v="2"/>
    <n v="3"/>
    <n v="7.9233333333333329"/>
    <x v="23"/>
    <s v="55 million"/>
    <n v="1185383"/>
  </r>
  <r>
    <n v="72"/>
    <x v="32"/>
    <s v="Historical, Drama"/>
    <n v="2"/>
    <n v="25"/>
    <n v="8.6"/>
    <x v="31"/>
    <x v="0"/>
    <n v="0"/>
    <s v="NULL "/>
    <x v="24"/>
    <s v="No Info"/>
    <n v="420950"/>
  </r>
  <r>
    <n v="71"/>
    <x v="33"/>
    <s v="Shonen Manga, Comedy "/>
    <n v="3"/>
    <n v="27"/>
    <n v="8.49"/>
    <x v="32"/>
    <x v="0"/>
    <n v="1"/>
    <n v="7.7"/>
    <x v="0"/>
    <s v="1.2 million"/>
    <n v="4053230"/>
  </r>
  <r>
    <n v="258"/>
    <x v="34"/>
    <s v="Adventure Martial arts Romance"/>
    <n v="13"/>
    <n v="94"/>
    <n v="7.76"/>
    <x v="33"/>
    <x v="1"/>
    <n v="5"/>
    <n v="7.55"/>
    <x v="23"/>
    <s v="72 million "/>
    <n v="484059"/>
  </r>
  <r>
    <n v="431"/>
    <x v="35"/>
    <s v="Drama Romance Novel"/>
    <n v="1"/>
    <n v="51"/>
    <n v="8.0500000000000007"/>
    <x v="34"/>
    <x v="0"/>
    <n v="0"/>
    <s v="NULL "/>
    <x v="25"/>
    <s v="50 million"/>
    <n v="38648"/>
  </r>
  <r>
    <n v="1145"/>
    <x v="36"/>
    <s v="Action Fantasy Sci Fi  "/>
    <n v="2"/>
    <n v="48"/>
    <n v="7.76"/>
    <x v="16"/>
    <x v="1"/>
    <n v="0"/>
    <s v="NULL "/>
    <x v="26"/>
    <s v="7.5 million"/>
    <n v="2008234"/>
  </r>
  <r>
    <n v="351"/>
    <x v="37"/>
    <s v="Romantic comedy"/>
    <n v="2"/>
    <n v="26"/>
    <n v="8.1950000000000003"/>
    <x v="35"/>
    <x v="1"/>
    <n v="0"/>
    <s v="NULL "/>
    <x v="27"/>
    <s v="7 million"/>
    <n v="1514063"/>
  </r>
  <r>
    <n v="586"/>
    <x v="38"/>
    <s v="Comedy Romance "/>
    <n v="1"/>
    <n v="26"/>
    <n v="8.1"/>
    <x v="36"/>
    <x v="0"/>
    <n v="0"/>
    <s v="NULL "/>
    <x v="28"/>
    <s v="No Info"/>
    <n v="1215940"/>
  </r>
  <r>
    <n v="1578"/>
    <x v="39"/>
    <s v="Action Drama Supernatural "/>
    <n v="2"/>
    <n v="24"/>
    <n v="7.62"/>
    <x v="37"/>
    <x v="2"/>
    <n v="0"/>
    <s v="NULL "/>
    <x v="3"/>
    <s v="10 + million"/>
    <n v="2061201"/>
  </r>
  <r>
    <n v="529"/>
    <x v="40"/>
    <s v="Action Fantasy Mystery "/>
    <n v="2"/>
    <n v="24"/>
    <n v="8.1999999999999993"/>
    <x v="38"/>
    <x v="2"/>
    <n v="0"/>
    <s v="NULL "/>
    <x v="0"/>
    <s v="5.5 million "/>
    <n v="756621"/>
  </r>
  <r>
    <n v="1660"/>
    <x v="41"/>
    <s v="Mystery "/>
    <n v="1"/>
    <n v="11"/>
    <n v="7.53"/>
    <x v="39"/>
    <x v="0"/>
    <n v="0"/>
    <s v="NULL "/>
    <x v="27"/>
    <s v="No Info"/>
    <n v="414347"/>
  </r>
  <r>
    <n v="909"/>
    <x v="42"/>
    <s v="Action Science fiction thriller Yankī"/>
    <n v="3"/>
    <n v="37"/>
    <n v="7.835"/>
    <x v="35"/>
    <x v="1"/>
    <n v="0"/>
    <s v="NULL "/>
    <x v="29"/>
    <s v="70 million"/>
    <n v="1494644"/>
  </r>
  <r>
    <n v="774"/>
    <x v="43"/>
    <s v="cooking, comedy, slice-of-life and ecchi"/>
    <n v="5"/>
    <n v="86"/>
    <n v="8.15"/>
    <x v="40"/>
    <x v="0"/>
    <n v="1"/>
    <s v="NULL "/>
    <x v="28"/>
    <s v="20 million "/>
    <n v="4764750"/>
  </r>
  <r>
    <n v="67"/>
    <x v="44"/>
    <s v="Dark Fantasy, Adventure Fiction, Science Fiction"/>
    <n v="2"/>
    <n v="25"/>
    <n v="8.65"/>
    <x v="41"/>
    <x v="1"/>
    <n v="3"/>
    <n v="8.3800000000000008"/>
    <x v="30"/>
    <s v="3 + million"/>
    <n v="1723257"/>
  </r>
  <r>
    <n v="950"/>
    <x v="45"/>
    <s v="Action Comedy SuperHero"/>
    <n v="2"/>
    <n v="24"/>
    <n v="8"/>
    <x v="42"/>
    <x v="1"/>
    <n v="0"/>
    <s v="NULL "/>
    <x v="5"/>
    <s v="30 + million"/>
    <n v="4724772"/>
  </r>
  <r>
    <n v="449"/>
    <x v="46"/>
    <s v="Adventure Fantasy comedy Martial arts"/>
    <n v="2"/>
    <n v="720"/>
    <n v="8.125"/>
    <x v="43"/>
    <x v="0"/>
    <n v="11"/>
    <n v="7.8"/>
    <x v="31"/>
    <s v="250 million"/>
    <n v="5148282"/>
  </r>
  <r>
    <n v="230"/>
    <x v="47"/>
    <s v="Sports Thriller"/>
    <n v="1"/>
    <n v="24"/>
    <n v="8.32"/>
    <x v="12"/>
    <x v="1"/>
    <n v="0"/>
    <s v="NULL "/>
    <x v="32"/>
    <s v="8 million"/>
    <n v="592901"/>
  </r>
  <r>
    <n v="413"/>
    <x v="48"/>
    <s v="Action, Comedy"/>
    <n v="1"/>
    <n v="12"/>
    <n v="8.15"/>
    <x v="44"/>
    <x v="0"/>
    <n v="0"/>
    <s v="NULL "/>
    <x v="33"/>
    <s v="No Info"/>
    <n v="229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CDC11E-38AF-4A60-876B-55503BAC25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S56" firstHeaderRow="1" firstDataRow="3" firstDataCol="1" rowPageCount="1" colPageCount="1"/>
  <pivotFields count="13">
    <pivotField multipleItemSelectionAllowed="1" showAll="0"/>
    <pivotField axis="axisRow" showAll="0">
      <items count="50">
        <item x="19"/>
        <item x="20"/>
        <item x="2"/>
        <item x="48"/>
        <item x="27"/>
        <item x="43"/>
        <item x="0"/>
        <item x="4"/>
        <item x="23"/>
        <item x="44"/>
        <item x="38"/>
        <item x="33"/>
        <item x="46"/>
        <item x="21"/>
        <item x="45"/>
        <item x="25"/>
        <item x="1"/>
        <item x="41"/>
        <item x="42"/>
        <item x="3"/>
        <item x="5"/>
        <item x="6"/>
        <item x="7"/>
        <item x="8"/>
        <item x="9"/>
        <item x="10"/>
        <item x="11"/>
        <item x="12"/>
        <item x="13"/>
        <item x="15"/>
        <item x="16"/>
        <item x="22"/>
        <item x="24"/>
        <item x="26"/>
        <item x="28"/>
        <item x="29"/>
        <item x="30"/>
        <item x="31"/>
        <item x="32"/>
        <item x="34"/>
        <item x="35"/>
        <item x="36"/>
        <item x="37"/>
        <item x="39"/>
        <item x="40"/>
        <item x="47"/>
        <item x="14"/>
        <item x="17"/>
        <item x="18"/>
        <item t="default"/>
      </items>
    </pivotField>
    <pivotField showAll="0"/>
    <pivotField showAll="0"/>
    <pivotField numFmtId="1" showAll="0"/>
    <pivotField dataField="1" showAll="0"/>
    <pivotField axis="axisPage"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4">
        <item x="0"/>
        <item x="2"/>
        <item x="1"/>
        <item t="default"/>
      </items>
    </pivotField>
    <pivotField numFmtId="1" showAll="0"/>
    <pivotField showAll="0"/>
    <pivotField axis="axisCol" multipleItemSelectionAllowed="1" showAll="0">
      <items count="35">
        <item x="32"/>
        <item x="6"/>
        <item x="4"/>
        <item x="0"/>
        <item x="16"/>
        <item x="27"/>
        <item x="26"/>
        <item x="24"/>
        <item x="28"/>
        <item x="30"/>
        <item x="9"/>
        <item x="23"/>
        <item x="29"/>
        <item x="12"/>
        <item x="5"/>
        <item x="21"/>
        <item x="15"/>
        <item x="33"/>
        <item x="2"/>
        <item x="19"/>
        <item x="20"/>
        <item x="8"/>
        <item x="18"/>
        <item x="31"/>
        <item x="22"/>
        <item x="10"/>
        <item x="14"/>
        <item x="7"/>
        <item x="17"/>
        <item x="25"/>
        <item x="13"/>
        <item x="1"/>
        <item x="3"/>
        <item x="11"/>
        <item t="default"/>
      </items>
    </pivotField>
    <pivotField showAll="0"/>
    <pivotField dataField="1" numFmtId="164" showAl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2">
    <field x="-2"/>
    <field x="10"/>
  </colFields>
  <colItems count="7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r="1" i="1">
      <x v="31"/>
    </i>
    <i r="1" i="1">
      <x v="32"/>
    </i>
    <i r="1" i="1">
      <x v="33"/>
    </i>
    <i t="grand">
      <x/>
    </i>
    <i t="grand" i="1">
      <x/>
    </i>
  </colItems>
  <pageFields count="1">
    <pageField fld="6" hier="-1"/>
  </pageFields>
  <dataFields count="2">
    <dataField name="Sum of Score" fld="5" baseField="0" baseItem="0"/>
    <dataField name="Sum of Members " fld="12" baseField="0" baseItem="0"/>
  </dataFields>
  <chartFormats count="141">
    <chartFormat chart="6" format="99" series="1">
      <pivotArea type="data" grandCol="1" outline="0" fieldPosition="0">
        <references count="1">
          <reference field="4294967294" count="1" selected="0">
            <x v="0"/>
          </reference>
        </references>
      </pivotArea>
    </chartFormat>
    <chartFormat chart="6" format="231" series="1">
      <pivotArea type="data" outline="0" fieldPosition="0">
        <references count="1">
          <reference field="4294967294" count="1" selected="0">
            <x v="0"/>
          </reference>
        </references>
      </pivotArea>
    </chartFormat>
    <chartFormat chart="6" format="325" series="1">
      <pivotArea type="data" outline="0" fieldPosition="0">
        <references count="2">
          <reference field="4294967294" count="1" selected="0">
            <x v="0"/>
          </reference>
          <reference field="10" count="1" selected="0">
            <x v="2"/>
          </reference>
        </references>
      </pivotArea>
    </chartFormat>
    <chartFormat chart="6" format="326" series="1">
      <pivotArea type="data" outline="0" fieldPosition="0">
        <references count="2">
          <reference field="4294967294" count="1" selected="0">
            <x v="0"/>
          </reference>
          <reference field="10" count="1" selected="0">
            <x v="3"/>
          </reference>
        </references>
      </pivotArea>
    </chartFormat>
    <chartFormat chart="6" format="327" series="1">
      <pivotArea type="data" outline="0" fieldPosition="0">
        <references count="2">
          <reference field="4294967294" count="1" selected="0">
            <x v="0"/>
          </reference>
          <reference field="10" count="1" selected="0">
            <x v="4"/>
          </reference>
        </references>
      </pivotArea>
    </chartFormat>
    <chartFormat chart="6" format="328" series="1">
      <pivotArea type="data" outline="0" fieldPosition="0">
        <references count="2">
          <reference field="4294967294" count="1" selected="0">
            <x v="0"/>
          </reference>
          <reference field="10" count="1" selected="0">
            <x v="5"/>
          </reference>
        </references>
      </pivotArea>
    </chartFormat>
    <chartFormat chart="6" format="329" series="1">
      <pivotArea type="data" outline="0" fieldPosition="0">
        <references count="2">
          <reference field="4294967294" count="1" selected="0">
            <x v="0"/>
          </reference>
          <reference field="10" count="1" selected="0">
            <x v="6"/>
          </reference>
        </references>
      </pivotArea>
    </chartFormat>
    <chartFormat chart="6" format="330" series="1">
      <pivotArea type="data" outline="0" fieldPosition="0">
        <references count="2">
          <reference field="4294967294" count="1" selected="0">
            <x v="0"/>
          </reference>
          <reference field="10" count="1" selected="0">
            <x v="7"/>
          </reference>
        </references>
      </pivotArea>
    </chartFormat>
    <chartFormat chart="6" format="331" series="1">
      <pivotArea type="data" outline="0" fieldPosition="0">
        <references count="2">
          <reference field="4294967294" count="1" selected="0">
            <x v="0"/>
          </reference>
          <reference field="10" count="1" selected="0">
            <x v="8"/>
          </reference>
        </references>
      </pivotArea>
    </chartFormat>
    <chartFormat chart="6" format="332" series="1">
      <pivotArea type="data" outline="0" fieldPosition="0">
        <references count="2">
          <reference field="4294967294" count="1" selected="0">
            <x v="0"/>
          </reference>
          <reference field="10" count="1" selected="0">
            <x v="9"/>
          </reference>
        </references>
      </pivotArea>
    </chartFormat>
    <chartFormat chart="6" format="333" series="1">
      <pivotArea type="data" outline="0" fieldPosition="0">
        <references count="2">
          <reference field="4294967294" count="1" selected="0">
            <x v="0"/>
          </reference>
          <reference field="10" count="1" selected="0">
            <x v="10"/>
          </reference>
        </references>
      </pivotArea>
    </chartFormat>
    <chartFormat chart="6" format="334" series="1">
      <pivotArea type="data" outline="0" fieldPosition="0">
        <references count="2">
          <reference field="4294967294" count="1" selected="0">
            <x v="0"/>
          </reference>
          <reference field="10" count="1" selected="0">
            <x v="11"/>
          </reference>
        </references>
      </pivotArea>
    </chartFormat>
    <chartFormat chart="6" format="335" series="1">
      <pivotArea type="data" outline="0" fieldPosition="0">
        <references count="2">
          <reference field="4294967294" count="1" selected="0">
            <x v="0"/>
          </reference>
          <reference field="10" count="1" selected="0">
            <x v="12"/>
          </reference>
        </references>
      </pivotArea>
    </chartFormat>
    <chartFormat chart="6" format="336" series="1">
      <pivotArea type="data" outline="0" fieldPosition="0">
        <references count="2">
          <reference field="4294967294" count="1" selected="0">
            <x v="0"/>
          </reference>
          <reference field="10" count="1" selected="0">
            <x v="13"/>
          </reference>
        </references>
      </pivotArea>
    </chartFormat>
    <chartFormat chart="6" format="337" series="1">
      <pivotArea type="data" outline="0" fieldPosition="0">
        <references count="2">
          <reference field="4294967294" count="1" selected="0">
            <x v="0"/>
          </reference>
          <reference field="10" count="1" selected="0">
            <x v="14"/>
          </reference>
        </references>
      </pivotArea>
    </chartFormat>
    <chartFormat chart="6" format="338" series="1">
      <pivotArea type="data" outline="0" fieldPosition="0">
        <references count="2">
          <reference field="4294967294" count="1" selected="0">
            <x v="0"/>
          </reference>
          <reference field="10" count="1" selected="0">
            <x v="15"/>
          </reference>
        </references>
      </pivotArea>
    </chartFormat>
    <chartFormat chart="6" format="339" series="1">
      <pivotArea type="data" outline="0" fieldPosition="0">
        <references count="2">
          <reference field="4294967294" count="1" selected="0">
            <x v="0"/>
          </reference>
          <reference field="10" count="1" selected="0">
            <x v="16"/>
          </reference>
        </references>
      </pivotArea>
    </chartFormat>
    <chartFormat chart="6" format="340" series="1">
      <pivotArea type="data" outline="0" fieldPosition="0">
        <references count="2">
          <reference field="4294967294" count="1" selected="0">
            <x v="0"/>
          </reference>
          <reference field="10" count="1" selected="0">
            <x v="17"/>
          </reference>
        </references>
      </pivotArea>
    </chartFormat>
    <chartFormat chart="6" format="341" series="1">
      <pivotArea type="data" outline="0" fieldPosition="0">
        <references count="2">
          <reference field="4294967294" count="1" selected="0">
            <x v="0"/>
          </reference>
          <reference field="10" count="1" selected="0">
            <x v="18"/>
          </reference>
        </references>
      </pivotArea>
    </chartFormat>
    <chartFormat chart="6" format="342" series="1">
      <pivotArea type="data" outline="0" fieldPosition="0">
        <references count="2">
          <reference field="4294967294" count="1" selected="0">
            <x v="0"/>
          </reference>
          <reference field="10" count="1" selected="0">
            <x v="19"/>
          </reference>
        </references>
      </pivotArea>
    </chartFormat>
    <chartFormat chart="6" format="343" series="1">
      <pivotArea type="data" outline="0" fieldPosition="0">
        <references count="2">
          <reference field="4294967294" count="1" selected="0">
            <x v="0"/>
          </reference>
          <reference field="10" count="1" selected="0">
            <x v="20"/>
          </reference>
        </references>
      </pivotArea>
    </chartFormat>
    <chartFormat chart="6" format="344" series="1">
      <pivotArea type="data" outline="0" fieldPosition="0">
        <references count="2">
          <reference field="4294967294" count="1" selected="0">
            <x v="0"/>
          </reference>
          <reference field="10" count="1" selected="0">
            <x v="21"/>
          </reference>
        </references>
      </pivotArea>
    </chartFormat>
    <chartFormat chart="6" format="345" series="1">
      <pivotArea type="data" outline="0" fieldPosition="0">
        <references count="2">
          <reference field="4294967294" count="1" selected="0">
            <x v="0"/>
          </reference>
          <reference field="10" count="1" selected="0">
            <x v="22"/>
          </reference>
        </references>
      </pivotArea>
    </chartFormat>
    <chartFormat chart="6" format="346" series="1">
      <pivotArea type="data" outline="0" fieldPosition="0">
        <references count="2">
          <reference field="4294967294" count="1" selected="0">
            <x v="0"/>
          </reference>
          <reference field="10" count="1" selected="0">
            <x v="23"/>
          </reference>
        </references>
      </pivotArea>
    </chartFormat>
    <chartFormat chart="6" format="347" series="1">
      <pivotArea type="data" outline="0" fieldPosition="0">
        <references count="2">
          <reference field="4294967294" count="1" selected="0">
            <x v="0"/>
          </reference>
          <reference field="10" count="1" selected="0">
            <x v="24"/>
          </reference>
        </references>
      </pivotArea>
    </chartFormat>
    <chartFormat chart="6" format="348" series="1">
      <pivotArea type="data" outline="0" fieldPosition="0">
        <references count="2">
          <reference field="4294967294" count="1" selected="0">
            <x v="0"/>
          </reference>
          <reference field="10" count="1" selected="0">
            <x v="25"/>
          </reference>
        </references>
      </pivotArea>
    </chartFormat>
    <chartFormat chart="6" format="349" series="1">
      <pivotArea type="data" outline="0" fieldPosition="0">
        <references count="2">
          <reference field="4294967294" count="1" selected="0">
            <x v="0"/>
          </reference>
          <reference field="10" count="1" selected="0">
            <x v="26"/>
          </reference>
        </references>
      </pivotArea>
    </chartFormat>
    <chartFormat chart="6" format="350" series="1">
      <pivotArea type="data" outline="0" fieldPosition="0">
        <references count="2">
          <reference field="4294967294" count="1" selected="0">
            <x v="0"/>
          </reference>
          <reference field="10" count="1" selected="0">
            <x v="27"/>
          </reference>
        </references>
      </pivotArea>
    </chartFormat>
    <chartFormat chart="6" format="351" series="1">
      <pivotArea type="data" outline="0" fieldPosition="0">
        <references count="2">
          <reference field="4294967294" count="1" selected="0">
            <x v="0"/>
          </reference>
          <reference field="10" count="1" selected="0">
            <x v="28"/>
          </reference>
        </references>
      </pivotArea>
    </chartFormat>
    <chartFormat chart="6" format="352" series="1">
      <pivotArea type="data" outline="0" fieldPosition="0">
        <references count="2">
          <reference field="4294967294" count="1" selected="0">
            <x v="0"/>
          </reference>
          <reference field="10" count="1" selected="0">
            <x v="29"/>
          </reference>
        </references>
      </pivotArea>
    </chartFormat>
    <chartFormat chart="6" format="353" series="1">
      <pivotArea type="data" outline="0" fieldPosition="0">
        <references count="2">
          <reference field="4294967294" count="1" selected="0">
            <x v="0"/>
          </reference>
          <reference field="10" count="1" selected="0">
            <x v="30"/>
          </reference>
        </references>
      </pivotArea>
    </chartFormat>
    <chartFormat chart="6" format="354" series="1">
      <pivotArea type="data" outline="0" fieldPosition="0">
        <references count="2">
          <reference field="4294967294" count="1" selected="0">
            <x v="0"/>
          </reference>
          <reference field="10" count="1" selected="0">
            <x v="31"/>
          </reference>
        </references>
      </pivotArea>
    </chartFormat>
    <chartFormat chart="6" format="355" series="1">
      <pivotArea type="data" outline="0" fieldPosition="0">
        <references count="2">
          <reference field="4294967294" count="1" selected="0">
            <x v="0"/>
          </reference>
          <reference field="10" count="1" selected="0">
            <x v="32"/>
          </reference>
        </references>
      </pivotArea>
    </chartFormat>
    <chartFormat chart="6" format="356" series="1">
      <pivotArea type="data" outline="0" fieldPosition="0">
        <references count="2">
          <reference field="4294967294" count="1" selected="0">
            <x v="0"/>
          </reference>
          <reference field="10" count="1" selected="0">
            <x v="33"/>
          </reference>
        </references>
      </pivotArea>
    </chartFormat>
    <chartFormat chart="6" format="357" series="1">
      <pivotArea type="data" outline="0" fieldPosition="0">
        <references count="2">
          <reference field="4294967294" count="1" selected="0">
            <x v="1"/>
          </reference>
          <reference field="10" count="1" selected="0">
            <x v="17"/>
          </reference>
        </references>
      </pivotArea>
    </chartFormat>
    <chartFormat chart="6" format="358" series="1">
      <pivotArea type="data" outline="0" fieldPosition="0">
        <references count="2">
          <reference field="4294967294" count="1" selected="0">
            <x v="1"/>
          </reference>
          <reference field="10" count="1" selected="0">
            <x v="18"/>
          </reference>
        </references>
      </pivotArea>
    </chartFormat>
    <chartFormat chart="6" format="359" series="1">
      <pivotArea type="data" outline="0" fieldPosition="0">
        <references count="2">
          <reference field="4294967294" count="1" selected="0">
            <x v="1"/>
          </reference>
          <reference field="10" count="1" selected="0">
            <x v="19"/>
          </reference>
        </references>
      </pivotArea>
    </chartFormat>
    <chartFormat chart="6" format="360" series="1">
      <pivotArea type="data" outline="0" fieldPosition="0">
        <references count="2">
          <reference field="4294967294" count="1" selected="0">
            <x v="1"/>
          </reference>
          <reference field="10" count="1" selected="0">
            <x v="20"/>
          </reference>
        </references>
      </pivotArea>
    </chartFormat>
    <chartFormat chart="6" format="361" series="1">
      <pivotArea type="data" outline="0" fieldPosition="0">
        <references count="2">
          <reference field="4294967294" count="1" selected="0">
            <x v="1"/>
          </reference>
          <reference field="10" count="1" selected="0">
            <x v="21"/>
          </reference>
        </references>
      </pivotArea>
    </chartFormat>
    <chartFormat chart="6" format="362" series="1">
      <pivotArea type="data" outline="0" fieldPosition="0">
        <references count="2">
          <reference field="4294967294" count="1" selected="0">
            <x v="1"/>
          </reference>
          <reference field="10" count="1" selected="0">
            <x v="22"/>
          </reference>
        </references>
      </pivotArea>
    </chartFormat>
    <chartFormat chart="6" format="363" series="1">
      <pivotArea type="data" outline="0" fieldPosition="0">
        <references count="2">
          <reference field="4294967294" count="1" selected="0">
            <x v="1"/>
          </reference>
          <reference field="10" count="1" selected="0">
            <x v="23"/>
          </reference>
        </references>
      </pivotArea>
    </chartFormat>
    <chartFormat chart="6" format="364" series="1">
      <pivotArea type="data" outline="0" fieldPosition="0">
        <references count="2">
          <reference field="4294967294" count="1" selected="0">
            <x v="1"/>
          </reference>
          <reference field="10" count="1" selected="0">
            <x v="24"/>
          </reference>
        </references>
      </pivotArea>
    </chartFormat>
    <chartFormat chart="6" format="365" series="1">
      <pivotArea type="data" outline="0" fieldPosition="0">
        <references count="2">
          <reference field="4294967294" count="1" selected="0">
            <x v="1"/>
          </reference>
          <reference field="10" count="1" selected="0">
            <x v="25"/>
          </reference>
        </references>
      </pivotArea>
    </chartFormat>
    <chartFormat chart="6" format="366" series="1">
      <pivotArea type="data" outline="0" fieldPosition="0">
        <references count="2">
          <reference field="4294967294" count="1" selected="0">
            <x v="1"/>
          </reference>
          <reference field="10" count="1" selected="0">
            <x v="26"/>
          </reference>
        </references>
      </pivotArea>
    </chartFormat>
    <chartFormat chart="6" format="367" series="1">
      <pivotArea type="data" outline="0" fieldPosition="0">
        <references count="2">
          <reference field="4294967294" count="1" selected="0">
            <x v="1"/>
          </reference>
          <reference field="10" count="1" selected="0">
            <x v="27"/>
          </reference>
        </references>
      </pivotArea>
    </chartFormat>
    <chartFormat chart="6" format="368" series="1">
      <pivotArea type="data" outline="0" fieldPosition="0">
        <references count="2">
          <reference field="4294967294" count="1" selected="0">
            <x v="1"/>
          </reference>
          <reference field="10" count="1" selected="0">
            <x v="28"/>
          </reference>
        </references>
      </pivotArea>
    </chartFormat>
    <chartFormat chart="6" format="369" series="1">
      <pivotArea type="data" outline="0" fieldPosition="0">
        <references count="2">
          <reference field="4294967294" count="1" selected="0">
            <x v="1"/>
          </reference>
          <reference field="10" count="1" selected="0">
            <x v="29"/>
          </reference>
        </references>
      </pivotArea>
    </chartFormat>
    <chartFormat chart="6" format="370" series="1">
      <pivotArea type="data" outline="0" fieldPosition="0">
        <references count="2">
          <reference field="4294967294" count="1" selected="0">
            <x v="1"/>
          </reference>
          <reference field="10" count="1" selected="0">
            <x v="30"/>
          </reference>
        </references>
      </pivotArea>
    </chartFormat>
    <chartFormat chart="6" format="371" series="1">
      <pivotArea type="data" outline="0" fieldPosition="0">
        <references count="2">
          <reference field="4294967294" count="1" selected="0">
            <x v="1"/>
          </reference>
          <reference field="10" count="1" selected="0">
            <x v="31"/>
          </reference>
        </references>
      </pivotArea>
    </chartFormat>
    <chartFormat chart="6" format="372" series="1">
      <pivotArea type="data" outline="0" fieldPosition="0">
        <references count="2">
          <reference field="4294967294" count="1" selected="0">
            <x v="1"/>
          </reference>
          <reference field="10" count="1" selected="0">
            <x v="32"/>
          </reference>
        </references>
      </pivotArea>
    </chartFormat>
    <chartFormat chart="6" format="373" series="1">
      <pivotArea type="data" outline="0" fieldPosition="0">
        <references count="2">
          <reference field="4294967294" count="1" selected="0">
            <x v="1"/>
          </reference>
          <reference field="10" count="1" selected="0">
            <x v="33"/>
          </reference>
        </references>
      </pivotArea>
    </chartFormat>
    <chartFormat chart="6" format="374" series="1">
      <pivotArea type="data" outline="0" fieldPosition="0">
        <references count="2">
          <reference field="4294967294" count="1" selected="0">
            <x v="1"/>
          </reference>
          <reference field="10" count="1" selected="0">
            <x v="0"/>
          </reference>
        </references>
      </pivotArea>
    </chartFormat>
    <chartFormat chart="6" format="375" series="1">
      <pivotArea type="data" outline="0" fieldPosition="0">
        <references count="2">
          <reference field="4294967294" count="1" selected="0">
            <x v="1"/>
          </reference>
          <reference field="10" count="1" selected="0">
            <x v="1"/>
          </reference>
        </references>
      </pivotArea>
    </chartFormat>
    <chartFormat chart="6" format="376" series="1">
      <pivotArea type="data" outline="0" fieldPosition="0">
        <references count="2">
          <reference field="4294967294" count="1" selected="0">
            <x v="1"/>
          </reference>
          <reference field="10" count="1" selected="0">
            <x v="2"/>
          </reference>
        </references>
      </pivotArea>
    </chartFormat>
    <chartFormat chart="6" format="377" series="1">
      <pivotArea type="data" outline="0" fieldPosition="0">
        <references count="2">
          <reference field="4294967294" count="1" selected="0">
            <x v="1"/>
          </reference>
          <reference field="10" count="1" selected="0">
            <x v="3"/>
          </reference>
        </references>
      </pivotArea>
    </chartFormat>
    <chartFormat chart="6" format="378" series="1">
      <pivotArea type="data" outline="0" fieldPosition="0">
        <references count="2">
          <reference field="4294967294" count="1" selected="0">
            <x v="1"/>
          </reference>
          <reference field="10" count="1" selected="0">
            <x v="4"/>
          </reference>
        </references>
      </pivotArea>
    </chartFormat>
    <chartFormat chart="6" format="379" series="1">
      <pivotArea type="data" outline="0" fieldPosition="0">
        <references count="2">
          <reference field="4294967294" count="1" selected="0">
            <x v="1"/>
          </reference>
          <reference field="10" count="1" selected="0">
            <x v="5"/>
          </reference>
        </references>
      </pivotArea>
    </chartFormat>
    <chartFormat chart="6" format="380" series="1">
      <pivotArea type="data" outline="0" fieldPosition="0">
        <references count="2">
          <reference field="4294967294" count="1" selected="0">
            <x v="1"/>
          </reference>
          <reference field="10" count="1" selected="0">
            <x v="6"/>
          </reference>
        </references>
      </pivotArea>
    </chartFormat>
    <chartFormat chart="6" format="381" series="1">
      <pivotArea type="data" outline="0" fieldPosition="0">
        <references count="2">
          <reference field="4294967294" count="1" selected="0">
            <x v="1"/>
          </reference>
          <reference field="10" count="1" selected="0">
            <x v="7"/>
          </reference>
        </references>
      </pivotArea>
    </chartFormat>
    <chartFormat chart="6" format="382" series="1">
      <pivotArea type="data" outline="0" fieldPosition="0">
        <references count="2">
          <reference field="4294967294" count="1" selected="0">
            <x v="1"/>
          </reference>
          <reference field="10" count="1" selected="0">
            <x v="8"/>
          </reference>
        </references>
      </pivotArea>
    </chartFormat>
    <chartFormat chart="6" format="383" series="1">
      <pivotArea type="data" outline="0" fieldPosition="0">
        <references count="2">
          <reference field="4294967294" count="1" selected="0">
            <x v="1"/>
          </reference>
          <reference field="10" count="1" selected="0">
            <x v="9"/>
          </reference>
        </references>
      </pivotArea>
    </chartFormat>
    <chartFormat chart="6" format="384" series="1">
      <pivotArea type="data" outline="0" fieldPosition="0">
        <references count="2">
          <reference field="4294967294" count="1" selected="0">
            <x v="1"/>
          </reference>
          <reference field="10" count="1" selected="0">
            <x v="10"/>
          </reference>
        </references>
      </pivotArea>
    </chartFormat>
    <chartFormat chart="6" format="385" series="1">
      <pivotArea type="data" outline="0" fieldPosition="0">
        <references count="2">
          <reference field="4294967294" count="1" selected="0">
            <x v="1"/>
          </reference>
          <reference field="10" count="1" selected="0">
            <x v="11"/>
          </reference>
        </references>
      </pivotArea>
    </chartFormat>
    <chartFormat chart="6" format="386" series="1">
      <pivotArea type="data" outline="0" fieldPosition="0">
        <references count="2">
          <reference field="4294967294" count="1" selected="0">
            <x v="1"/>
          </reference>
          <reference field="10" count="1" selected="0">
            <x v="12"/>
          </reference>
        </references>
      </pivotArea>
    </chartFormat>
    <chartFormat chart="6" format="387" series="1">
      <pivotArea type="data" outline="0" fieldPosition="0">
        <references count="2">
          <reference field="4294967294" count="1" selected="0">
            <x v="1"/>
          </reference>
          <reference field="10" count="1" selected="0">
            <x v="13"/>
          </reference>
        </references>
      </pivotArea>
    </chartFormat>
    <chartFormat chart="6" format="388" series="1">
      <pivotArea type="data" outline="0" fieldPosition="0">
        <references count="2">
          <reference field="4294967294" count="1" selected="0">
            <x v="1"/>
          </reference>
          <reference field="10" count="1" selected="0">
            <x v="14"/>
          </reference>
        </references>
      </pivotArea>
    </chartFormat>
    <chartFormat chart="6" format="389" series="1">
      <pivotArea type="data" outline="0" fieldPosition="0">
        <references count="2">
          <reference field="4294967294" count="1" selected="0">
            <x v="1"/>
          </reference>
          <reference field="10" count="1" selected="0">
            <x v="15"/>
          </reference>
        </references>
      </pivotArea>
    </chartFormat>
    <chartFormat chart="6" format="390" series="1">
      <pivotArea type="data" outline="0" fieldPosition="0">
        <references count="2">
          <reference field="4294967294" count="1" selected="0">
            <x v="1"/>
          </reference>
          <reference field="10" count="1" selected="0">
            <x v="16"/>
          </reference>
        </references>
      </pivotArea>
    </chartFormat>
    <chartFormat chart="8" format="657" series="1">
      <pivotArea type="data" outline="0" fieldPosition="0">
        <references count="2">
          <reference field="4294967294" count="1" selected="0">
            <x v="0"/>
          </reference>
          <reference field="10" count="1" selected="0">
            <x v="0"/>
          </reference>
        </references>
      </pivotArea>
    </chartFormat>
    <chartFormat chart="8" format="658" series="1">
      <pivotArea type="data" outline="0" fieldPosition="0">
        <references count="2">
          <reference field="4294967294" count="1" selected="0">
            <x v="0"/>
          </reference>
          <reference field="10" count="1" selected="0">
            <x v="1"/>
          </reference>
        </references>
      </pivotArea>
    </chartFormat>
    <chartFormat chart="8" format="659" series="1">
      <pivotArea type="data" outline="0" fieldPosition="0">
        <references count="2">
          <reference field="4294967294" count="1" selected="0">
            <x v="0"/>
          </reference>
          <reference field="10" count="1" selected="0">
            <x v="2"/>
          </reference>
        </references>
      </pivotArea>
    </chartFormat>
    <chartFormat chart="8" format="660" series="1">
      <pivotArea type="data" outline="0" fieldPosition="0">
        <references count="2">
          <reference field="4294967294" count="1" selected="0">
            <x v="0"/>
          </reference>
          <reference field="10" count="1" selected="0">
            <x v="3"/>
          </reference>
        </references>
      </pivotArea>
    </chartFormat>
    <chartFormat chart="8" format="661" series="1">
      <pivotArea type="data" outline="0" fieldPosition="0">
        <references count="2">
          <reference field="4294967294" count="1" selected="0">
            <x v="0"/>
          </reference>
          <reference field="10" count="1" selected="0">
            <x v="4"/>
          </reference>
        </references>
      </pivotArea>
    </chartFormat>
    <chartFormat chart="8" format="662" series="1">
      <pivotArea type="data" outline="0" fieldPosition="0">
        <references count="2">
          <reference field="4294967294" count="1" selected="0">
            <x v="0"/>
          </reference>
          <reference field="10" count="1" selected="0">
            <x v="5"/>
          </reference>
        </references>
      </pivotArea>
    </chartFormat>
    <chartFormat chart="8" format="663" series="1">
      <pivotArea type="data" outline="0" fieldPosition="0">
        <references count="2">
          <reference field="4294967294" count="1" selected="0">
            <x v="0"/>
          </reference>
          <reference field="10" count="1" selected="0">
            <x v="6"/>
          </reference>
        </references>
      </pivotArea>
    </chartFormat>
    <chartFormat chart="8" format="664" series="1">
      <pivotArea type="data" outline="0" fieldPosition="0">
        <references count="2">
          <reference field="4294967294" count="1" selected="0">
            <x v="0"/>
          </reference>
          <reference field="10" count="1" selected="0">
            <x v="7"/>
          </reference>
        </references>
      </pivotArea>
    </chartFormat>
    <chartFormat chart="8" format="665" series="1">
      <pivotArea type="data" outline="0" fieldPosition="0">
        <references count="2">
          <reference field="4294967294" count="1" selected="0">
            <x v="0"/>
          </reference>
          <reference field="10" count="1" selected="0">
            <x v="8"/>
          </reference>
        </references>
      </pivotArea>
    </chartFormat>
    <chartFormat chart="8" format="666" series="1">
      <pivotArea type="data" outline="0" fieldPosition="0">
        <references count="2">
          <reference field="4294967294" count="1" selected="0">
            <x v="0"/>
          </reference>
          <reference field="10" count="1" selected="0">
            <x v="9"/>
          </reference>
        </references>
      </pivotArea>
    </chartFormat>
    <chartFormat chart="8" format="667" series="1">
      <pivotArea type="data" outline="0" fieldPosition="0">
        <references count="2">
          <reference field="4294967294" count="1" selected="0">
            <x v="0"/>
          </reference>
          <reference field="10" count="1" selected="0">
            <x v="10"/>
          </reference>
        </references>
      </pivotArea>
    </chartFormat>
    <chartFormat chart="8" format="668" series="1">
      <pivotArea type="data" outline="0" fieldPosition="0">
        <references count="2">
          <reference field="4294967294" count="1" selected="0">
            <x v="0"/>
          </reference>
          <reference field="10" count="1" selected="0">
            <x v="11"/>
          </reference>
        </references>
      </pivotArea>
    </chartFormat>
    <chartFormat chart="8" format="669" series="1">
      <pivotArea type="data" outline="0" fieldPosition="0">
        <references count="2">
          <reference field="4294967294" count="1" selected="0">
            <x v="0"/>
          </reference>
          <reference field="10" count="1" selected="0">
            <x v="12"/>
          </reference>
        </references>
      </pivotArea>
    </chartFormat>
    <chartFormat chart="8" format="670" series="1">
      <pivotArea type="data" outline="0" fieldPosition="0">
        <references count="2">
          <reference field="4294967294" count="1" selected="0">
            <x v="0"/>
          </reference>
          <reference field="10" count="1" selected="0">
            <x v="13"/>
          </reference>
        </references>
      </pivotArea>
    </chartFormat>
    <chartFormat chart="8" format="671" series="1">
      <pivotArea type="data" outline="0" fieldPosition="0">
        <references count="2">
          <reference field="4294967294" count="1" selected="0">
            <x v="0"/>
          </reference>
          <reference field="10" count="1" selected="0">
            <x v="14"/>
          </reference>
        </references>
      </pivotArea>
    </chartFormat>
    <chartFormat chart="8" format="672" series="1">
      <pivotArea type="data" outline="0" fieldPosition="0">
        <references count="2">
          <reference field="4294967294" count="1" selected="0">
            <x v="0"/>
          </reference>
          <reference field="10" count="1" selected="0">
            <x v="15"/>
          </reference>
        </references>
      </pivotArea>
    </chartFormat>
    <chartFormat chart="8" format="673" series="1">
      <pivotArea type="data" outline="0" fieldPosition="0">
        <references count="2">
          <reference field="4294967294" count="1" selected="0">
            <x v="0"/>
          </reference>
          <reference field="10" count="1" selected="0">
            <x v="16"/>
          </reference>
        </references>
      </pivotArea>
    </chartFormat>
    <chartFormat chart="8" format="674" series="1">
      <pivotArea type="data" outline="0" fieldPosition="0">
        <references count="2">
          <reference field="4294967294" count="1" selected="0">
            <x v="0"/>
          </reference>
          <reference field="10" count="1" selected="0">
            <x v="17"/>
          </reference>
        </references>
      </pivotArea>
    </chartFormat>
    <chartFormat chart="8" format="675" series="1">
      <pivotArea type="data" outline="0" fieldPosition="0">
        <references count="2">
          <reference field="4294967294" count="1" selected="0">
            <x v="0"/>
          </reference>
          <reference field="10" count="1" selected="0">
            <x v="18"/>
          </reference>
        </references>
      </pivotArea>
    </chartFormat>
    <chartFormat chart="8" format="676" series="1">
      <pivotArea type="data" outline="0" fieldPosition="0">
        <references count="2">
          <reference field="4294967294" count="1" selected="0">
            <x v="0"/>
          </reference>
          <reference field="10" count="1" selected="0">
            <x v="19"/>
          </reference>
        </references>
      </pivotArea>
    </chartFormat>
    <chartFormat chart="8" format="677" series="1">
      <pivotArea type="data" outline="0" fieldPosition="0">
        <references count="2">
          <reference field="4294967294" count="1" selected="0">
            <x v="0"/>
          </reference>
          <reference field="10" count="1" selected="0">
            <x v="20"/>
          </reference>
        </references>
      </pivotArea>
    </chartFormat>
    <chartFormat chart="8" format="678" series="1">
      <pivotArea type="data" outline="0" fieldPosition="0">
        <references count="2">
          <reference field="4294967294" count="1" selected="0">
            <x v="0"/>
          </reference>
          <reference field="10" count="1" selected="0">
            <x v="21"/>
          </reference>
        </references>
      </pivotArea>
    </chartFormat>
    <chartFormat chart="8" format="679" series="1">
      <pivotArea type="data" outline="0" fieldPosition="0">
        <references count="2">
          <reference field="4294967294" count="1" selected="0">
            <x v="0"/>
          </reference>
          <reference field="10" count="1" selected="0">
            <x v="22"/>
          </reference>
        </references>
      </pivotArea>
    </chartFormat>
    <chartFormat chart="8" format="680" series="1">
      <pivotArea type="data" outline="0" fieldPosition="0">
        <references count="2">
          <reference field="4294967294" count="1" selected="0">
            <x v="0"/>
          </reference>
          <reference field="10" count="1" selected="0">
            <x v="23"/>
          </reference>
        </references>
      </pivotArea>
    </chartFormat>
    <chartFormat chart="8" format="681" series="1">
      <pivotArea type="data" outline="0" fieldPosition="0">
        <references count="2">
          <reference field="4294967294" count="1" selected="0">
            <x v="0"/>
          </reference>
          <reference field="10" count="1" selected="0">
            <x v="24"/>
          </reference>
        </references>
      </pivotArea>
    </chartFormat>
    <chartFormat chart="8" format="682" series="1">
      <pivotArea type="data" outline="0" fieldPosition="0">
        <references count="2">
          <reference field="4294967294" count="1" selected="0">
            <x v="0"/>
          </reference>
          <reference field="10" count="1" selected="0">
            <x v="25"/>
          </reference>
        </references>
      </pivotArea>
    </chartFormat>
    <chartFormat chart="8" format="683" series="1">
      <pivotArea type="data" outline="0" fieldPosition="0">
        <references count="2">
          <reference field="4294967294" count="1" selected="0">
            <x v="0"/>
          </reference>
          <reference field="10" count="1" selected="0">
            <x v="26"/>
          </reference>
        </references>
      </pivotArea>
    </chartFormat>
    <chartFormat chart="8" format="684" series="1">
      <pivotArea type="data" outline="0" fieldPosition="0">
        <references count="2">
          <reference field="4294967294" count="1" selected="0">
            <x v="0"/>
          </reference>
          <reference field="10" count="1" selected="0">
            <x v="27"/>
          </reference>
        </references>
      </pivotArea>
    </chartFormat>
    <chartFormat chart="8" format="685" series="1">
      <pivotArea type="data" outline="0" fieldPosition="0">
        <references count="2">
          <reference field="4294967294" count="1" selected="0">
            <x v="0"/>
          </reference>
          <reference field="10" count="1" selected="0">
            <x v="28"/>
          </reference>
        </references>
      </pivotArea>
    </chartFormat>
    <chartFormat chart="8" format="686" series="1">
      <pivotArea type="data" outline="0" fieldPosition="0">
        <references count="2">
          <reference field="4294967294" count="1" selected="0">
            <x v="0"/>
          </reference>
          <reference field="10" count="1" selected="0">
            <x v="29"/>
          </reference>
        </references>
      </pivotArea>
    </chartFormat>
    <chartFormat chart="8" format="687" series="1">
      <pivotArea type="data" outline="0" fieldPosition="0">
        <references count="2">
          <reference field="4294967294" count="1" selected="0">
            <x v="0"/>
          </reference>
          <reference field="10" count="1" selected="0">
            <x v="30"/>
          </reference>
        </references>
      </pivotArea>
    </chartFormat>
    <chartFormat chart="8" format="688" series="1">
      <pivotArea type="data" outline="0" fieldPosition="0">
        <references count="2">
          <reference field="4294967294" count="1" selected="0">
            <x v="0"/>
          </reference>
          <reference field="10" count="1" selected="0">
            <x v="31"/>
          </reference>
        </references>
      </pivotArea>
    </chartFormat>
    <chartFormat chart="8" format="689" series="1">
      <pivotArea type="data" outline="0" fieldPosition="0">
        <references count="2">
          <reference field="4294967294" count="1" selected="0">
            <x v="0"/>
          </reference>
          <reference field="10" count="1" selected="0">
            <x v="32"/>
          </reference>
        </references>
      </pivotArea>
    </chartFormat>
    <chartFormat chart="8" format="690" series="1">
      <pivotArea type="data" outline="0" fieldPosition="0">
        <references count="2">
          <reference field="4294967294" count="1" selected="0">
            <x v="0"/>
          </reference>
          <reference field="10" count="1" selected="0">
            <x v="33"/>
          </reference>
        </references>
      </pivotArea>
    </chartFormat>
    <chartFormat chart="8" format="691" series="1">
      <pivotArea type="data" outline="0" fieldPosition="0">
        <references count="2">
          <reference field="4294967294" count="1" selected="0">
            <x v="1"/>
          </reference>
          <reference field="10" count="1" selected="0">
            <x v="0"/>
          </reference>
        </references>
      </pivotArea>
    </chartFormat>
    <chartFormat chart="8" format="692" series="1">
      <pivotArea type="data" outline="0" fieldPosition="0">
        <references count="2">
          <reference field="4294967294" count="1" selected="0">
            <x v="1"/>
          </reference>
          <reference field="10" count="1" selected="0">
            <x v="1"/>
          </reference>
        </references>
      </pivotArea>
    </chartFormat>
    <chartFormat chart="8" format="693" series="1">
      <pivotArea type="data" outline="0" fieldPosition="0">
        <references count="2">
          <reference field="4294967294" count="1" selected="0">
            <x v="1"/>
          </reference>
          <reference field="10" count="1" selected="0">
            <x v="2"/>
          </reference>
        </references>
      </pivotArea>
    </chartFormat>
    <chartFormat chart="8" format="694" series="1">
      <pivotArea type="data" outline="0" fieldPosition="0">
        <references count="2">
          <reference field="4294967294" count="1" selected="0">
            <x v="1"/>
          </reference>
          <reference field="10" count="1" selected="0">
            <x v="3"/>
          </reference>
        </references>
      </pivotArea>
    </chartFormat>
    <chartFormat chart="8" format="695" series="1">
      <pivotArea type="data" outline="0" fieldPosition="0">
        <references count="2">
          <reference field="4294967294" count="1" selected="0">
            <x v="1"/>
          </reference>
          <reference field="10" count="1" selected="0">
            <x v="4"/>
          </reference>
        </references>
      </pivotArea>
    </chartFormat>
    <chartFormat chart="8" format="696" series="1">
      <pivotArea type="data" outline="0" fieldPosition="0">
        <references count="2">
          <reference field="4294967294" count="1" selected="0">
            <x v="1"/>
          </reference>
          <reference field="10" count="1" selected="0">
            <x v="5"/>
          </reference>
        </references>
      </pivotArea>
    </chartFormat>
    <chartFormat chart="8" format="697" series="1">
      <pivotArea type="data" outline="0" fieldPosition="0">
        <references count="2">
          <reference field="4294967294" count="1" selected="0">
            <x v="1"/>
          </reference>
          <reference field="10" count="1" selected="0">
            <x v="6"/>
          </reference>
        </references>
      </pivotArea>
    </chartFormat>
    <chartFormat chart="8" format="698" series="1">
      <pivotArea type="data" outline="0" fieldPosition="0">
        <references count="2">
          <reference field="4294967294" count="1" selected="0">
            <x v="1"/>
          </reference>
          <reference field="10" count="1" selected="0">
            <x v="7"/>
          </reference>
        </references>
      </pivotArea>
    </chartFormat>
    <chartFormat chart="8" format="699" series="1">
      <pivotArea type="data" outline="0" fieldPosition="0">
        <references count="2">
          <reference field="4294967294" count="1" selected="0">
            <x v="1"/>
          </reference>
          <reference field="10" count="1" selected="0">
            <x v="8"/>
          </reference>
        </references>
      </pivotArea>
    </chartFormat>
    <chartFormat chart="8" format="700" series="1">
      <pivotArea type="data" outline="0" fieldPosition="0">
        <references count="2">
          <reference field="4294967294" count="1" selected="0">
            <x v="1"/>
          </reference>
          <reference field="10" count="1" selected="0">
            <x v="9"/>
          </reference>
        </references>
      </pivotArea>
    </chartFormat>
    <chartFormat chart="8" format="701" series="1">
      <pivotArea type="data" outline="0" fieldPosition="0">
        <references count="2">
          <reference field="4294967294" count="1" selected="0">
            <x v="1"/>
          </reference>
          <reference field="10" count="1" selected="0">
            <x v="10"/>
          </reference>
        </references>
      </pivotArea>
    </chartFormat>
    <chartFormat chart="8" format="702" series="1">
      <pivotArea type="data" outline="0" fieldPosition="0">
        <references count="2">
          <reference field="4294967294" count="1" selected="0">
            <x v="1"/>
          </reference>
          <reference field="10" count="1" selected="0">
            <x v="11"/>
          </reference>
        </references>
      </pivotArea>
    </chartFormat>
    <chartFormat chart="8" format="703" series="1">
      <pivotArea type="data" outline="0" fieldPosition="0">
        <references count="2">
          <reference field="4294967294" count="1" selected="0">
            <x v="1"/>
          </reference>
          <reference field="10" count="1" selected="0">
            <x v="12"/>
          </reference>
        </references>
      </pivotArea>
    </chartFormat>
    <chartFormat chart="8" format="704" series="1">
      <pivotArea type="data" outline="0" fieldPosition="0">
        <references count="2">
          <reference field="4294967294" count="1" selected="0">
            <x v="1"/>
          </reference>
          <reference field="10" count="1" selected="0">
            <x v="13"/>
          </reference>
        </references>
      </pivotArea>
    </chartFormat>
    <chartFormat chart="8" format="705" series="1">
      <pivotArea type="data" outline="0" fieldPosition="0">
        <references count="2">
          <reference field="4294967294" count="1" selected="0">
            <x v="1"/>
          </reference>
          <reference field="10" count="1" selected="0">
            <x v="14"/>
          </reference>
        </references>
      </pivotArea>
    </chartFormat>
    <chartFormat chart="8" format="706" series="1">
      <pivotArea type="data" outline="0" fieldPosition="0">
        <references count="2">
          <reference field="4294967294" count="1" selected="0">
            <x v="1"/>
          </reference>
          <reference field="10" count="1" selected="0">
            <x v="15"/>
          </reference>
        </references>
      </pivotArea>
    </chartFormat>
    <chartFormat chart="8" format="707" series="1">
      <pivotArea type="data" outline="0" fieldPosition="0">
        <references count="2">
          <reference field="4294967294" count="1" selected="0">
            <x v="1"/>
          </reference>
          <reference field="10" count="1" selected="0">
            <x v="16"/>
          </reference>
        </references>
      </pivotArea>
    </chartFormat>
    <chartFormat chart="8" format="708" series="1">
      <pivotArea type="data" outline="0" fieldPosition="0">
        <references count="2">
          <reference field="4294967294" count="1" selected="0">
            <x v="1"/>
          </reference>
          <reference field="10" count="1" selected="0">
            <x v="17"/>
          </reference>
        </references>
      </pivotArea>
    </chartFormat>
    <chartFormat chart="8" format="709" series="1">
      <pivotArea type="data" outline="0" fieldPosition="0">
        <references count="2">
          <reference field="4294967294" count="1" selected="0">
            <x v="1"/>
          </reference>
          <reference field="10" count="1" selected="0">
            <x v="18"/>
          </reference>
        </references>
      </pivotArea>
    </chartFormat>
    <chartFormat chart="8" format="710" series="1">
      <pivotArea type="data" outline="0" fieldPosition="0">
        <references count="2">
          <reference field="4294967294" count="1" selected="0">
            <x v="1"/>
          </reference>
          <reference field="10" count="1" selected="0">
            <x v="19"/>
          </reference>
        </references>
      </pivotArea>
    </chartFormat>
    <chartFormat chart="8" format="711" series="1">
      <pivotArea type="data" outline="0" fieldPosition="0">
        <references count="2">
          <reference field="4294967294" count="1" selected="0">
            <x v="1"/>
          </reference>
          <reference field="10" count="1" selected="0">
            <x v="20"/>
          </reference>
        </references>
      </pivotArea>
    </chartFormat>
    <chartFormat chart="8" format="712" series="1">
      <pivotArea type="data" outline="0" fieldPosition="0">
        <references count="2">
          <reference field="4294967294" count="1" selected="0">
            <x v="1"/>
          </reference>
          <reference field="10" count="1" selected="0">
            <x v="21"/>
          </reference>
        </references>
      </pivotArea>
    </chartFormat>
    <chartFormat chart="8" format="713" series="1">
      <pivotArea type="data" outline="0" fieldPosition="0">
        <references count="2">
          <reference field="4294967294" count="1" selected="0">
            <x v="1"/>
          </reference>
          <reference field="10" count="1" selected="0">
            <x v="22"/>
          </reference>
        </references>
      </pivotArea>
    </chartFormat>
    <chartFormat chart="8" format="714" series="1">
      <pivotArea type="data" outline="0" fieldPosition="0">
        <references count="2">
          <reference field="4294967294" count="1" selected="0">
            <x v="1"/>
          </reference>
          <reference field="10" count="1" selected="0">
            <x v="23"/>
          </reference>
        </references>
      </pivotArea>
    </chartFormat>
    <chartFormat chart="8" format="715" series="1">
      <pivotArea type="data" outline="0" fieldPosition="0">
        <references count="2">
          <reference field="4294967294" count="1" selected="0">
            <x v="1"/>
          </reference>
          <reference field="10" count="1" selected="0">
            <x v="24"/>
          </reference>
        </references>
      </pivotArea>
    </chartFormat>
    <chartFormat chart="8" format="716" series="1">
      <pivotArea type="data" outline="0" fieldPosition="0">
        <references count="2">
          <reference field="4294967294" count="1" selected="0">
            <x v="1"/>
          </reference>
          <reference field="10" count="1" selected="0">
            <x v="25"/>
          </reference>
        </references>
      </pivotArea>
    </chartFormat>
    <chartFormat chart="8" format="717" series="1">
      <pivotArea type="data" outline="0" fieldPosition="0">
        <references count="2">
          <reference field="4294967294" count="1" selected="0">
            <x v="1"/>
          </reference>
          <reference field="10" count="1" selected="0">
            <x v="26"/>
          </reference>
        </references>
      </pivotArea>
    </chartFormat>
    <chartFormat chart="8" format="718" series="1">
      <pivotArea type="data" outline="0" fieldPosition="0">
        <references count="2">
          <reference field="4294967294" count="1" selected="0">
            <x v="1"/>
          </reference>
          <reference field="10" count="1" selected="0">
            <x v="27"/>
          </reference>
        </references>
      </pivotArea>
    </chartFormat>
    <chartFormat chart="8" format="719" series="1">
      <pivotArea type="data" outline="0" fieldPosition="0">
        <references count="2">
          <reference field="4294967294" count="1" selected="0">
            <x v="1"/>
          </reference>
          <reference field="10" count="1" selected="0">
            <x v="28"/>
          </reference>
        </references>
      </pivotArea>
    </chartFormat>
    <chartFormat chart="8" format="720" series="1">
      <pivotArea type="data" outline="0" fieldPosition="0">
        <references count="2">
          <reference field="4294967294" count="1" selected="0">
            <x v="1"/>
          </reference>
          <reference field="10" count="1" selected="0">
            <x v="29"/>
          </reference>
        </references>
      </pivotArea>
    </chartFormat>
    <chartFormat chart="8" format="721" series="1">
      <pivotArea type="data" outline="0" fieldPosition="0">
        <references count="2">
          <reference field="4294967294" count="1" selected="0">
            <x v="1"/>
          </reference>
          <reference field="10" count="1" selected="0">
            <x v="30"/>
          </reference>
        </references>
      </pivotArea>
    </chartFormat>
    <chartFormat chart="8" format="722" series="1">
      <pivotArea type="data" outline="0" fieldPosition="0">
        <references count="2">
          <reference field="4294967294" count="1" selected="0">
            <x v="1"/>
          </reference>
          <reference field="10" count="1" selected="0">
            <x v="31"/>
          </reference>
        </references>
      </pivotArea>
    </chartFormat>
    <chartFormat chart="8" format="723" series="1">
      <pivotArea type="data" outline="0" fieldPosition="0">
        <references count="2">
          <reference field="4294967294" count="1" selected="0">
            <x v="1"/>
          </reference>
          <reference field="10" count="1" selected="0">
            <x v="32"/>
          </reference>
        </references>
      </pivotArea>
    </chartFormat>
    <chartFormat chart="8" format="724" series="1">
      <pivotArea type="data" outline="0" fieldPosition="0">
        <references count="2">
          <reference field="4294967294" count="1" selected="0">
            <x v="1"/>
          </reference>
          <reference field="10" count="1" selected="0">
            <x v="33"/>
          </reference>
        </references>
      </pivotArea>
    </chartFormat>
    <chartFormat chart="6" format="521" series="1">
      <pivotArea type="data" outline="0" fieldPosition="0">
        <references count="2">
          <reference field="4294967294" count="1" selected="0">
            <x v="0"/>
          </reference>
          <reference field="10" count="1" selected="0">
            <x v="0"/>
          </reference>
        </references>
      </pivotArea>
    </chartFormat>
    <chartFormat chart="6" format="522" series="1">
      <pivotArea type="data" outline="0" fieldPosition="0">
        <references count="2">
          <reference field="4294967294" count="1" selected="0">
            <x v="0"/>
          </reference>
          <reference field="10" count="1" selected="0">
            <x v="1"/>
          </reference>
        </references>
      </pivotArea>
    </chartFormat>
    <chartFormat chart="8" format="725" series="1">
      <pivotArea type="data" grandCol="1" outline="0" fieldPosition="0">
        <references count="1">
          <reference field="4294967294" count="1" selected="0">
            <x v="0"/>
          </reference>
        </references>
      </pivotArea>
    </chartFormat>
    <chartFormat chart="8" format="726" series="1">
      <pivotArea type="data" grandCol="1" outline="0" fieldPosition="0">
        <references count="1">
          <reference field="4294967294" count="1" selected="0">
            <x v="1"/>
          </reference>
        </references>
      </pivotArea>
    </chartFormat>
    <chartFormat chart="6" format="523"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0A045-D055-4475-9A49-CB6534FB9A0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53" firstHeaderRow="0" firstDataRow="1" firstDataCol="1"/>
  <pivotFields count="13">
    <pivotField dataField="1" numFmtId="1" showAll="0"/>
    <pivotField axis="axisRow" showAll="0">
      <items count="50">
        <item x="19"/>
        <item x="20"/>
        <item x="2"/>
        <item x="48"/>
        <item x="27"/>
        <item x="43"/>
        <item x="0"/>
        <item x="4"/>
        <item x="23"/>
        <item x="44"/>
        <item x="38"/>
        <item x="33"/>
        <item x="46"/>
        <item x="21"/>
        <item x="45"/>
        <item x="25"/>
        <item x="1"/>
        <item x="41"/>
        <item x="42"/>
        <item x="3"/>
        <item x="5"/>
        <item x="6"/>
        <item x="7"/>
        <item x="8"/>
        <item x="9"/>
        <item x="10"/>
        <item x="11"/>
        <item x="12"/>
        <item x="13"/>
        <item x="15"/>
        <item x="16"/>
        <item x="22"/>
        <item x="24"/>
        <item x="26"/>
        <item x="28"/>
        <item x="29"/>
        <item x="30"/>
        <item x="31"/>
        <item x="32"/>
        <item x="34"/>
        <item x="35"/>
        <item x="36"/>
        <item x="37"/>
        <item x="39"/>
        <item x="40"/>
        <item x="47"/>
        <item x="14"/>
        <item x="17"/>
        <item x="18"/>
        <item t="default"/>
      </items>
    </pivotField>
    <pivotField showAll="0"/>
    <pivotField showAll="0"/>
    <pivotField numFmtId="1" showAll="0"/>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4">
        <item x="0"/>
        <item x="2"/>
        <item x="1"/>
        <item t="default"/>
      </items>
    </pivotField>
    <pivotField numFmtId="1" showAll="0"/>
    <pivotField showAll="0"/>
    <pivotField showAll="0">
      <items count="35">
        <item x="32"/>
        <item x="6"/>
        <item x="4"/>
        <item x="0"/>
        <item x="16"/>
        <item x="27"/>
        <item x="26"/>
        <item x="24"/>
        <item x="28"/>
        <item x="30"/>
        <item x="9"/>
        <item x="23"/>
        <item x="29"/>
        <item x="12"/>
        <item x="5"/>
        <item x="21"/>
        <item x="15"/>
        <item x="33"/>
        <item x="2"/>
        <item x="19"/>
        <item x="20"/>
        <item x="8"/>
        <item x="18"/>
        <item x="31"/>
        <item x="22"/>
        <item x="10"/>
        <item x="14"/>
        <item x="7"/>
        <item x="17"/>
        <item x="25"/>
        <item x="13"/>
        <item x="1"/>
        <item x="3"/>
        <item x="11"/>
        <item t="default"/>
      </items>
    </pivotField>
    <pivotField showAll="0"/>
    <pivotField dataField="1" numFmtId="165" showAl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Members " fld="12" baseField="0" baseItem="0"/>
    <dataField name="Sum of Ranks" fld="0" baseField="0" baseItem="0"/>
  </dataFields>
  <chartFormats count="204">
    <chartFormat chart="1" format="50" series="1">
      <pivotArea type="data" outline="0" fieldPosition="0">
        <references count="1">
          <reference field="4294967294" count="1" selected="0">
            <x v="0"/>
          </reference>
        </references>
      </pivotArea>
    </chartFormat>
    <chartFormat chart="0" format="5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 format="199" series="1">
      <pivotArea type="data" outline="0" fieldPosition="0">
        <references count="1">
          <reference field="4294967294" count="1" selected="0">
            <x v="1"/>
          </reference>
        </references>
      </pivotArea>
    </chartFormat>
    <chartFormat chart="27" format="156">
      <pivotArea type="data" outline="0" fieldPosition="0">
        <references count="2">
          <reference field="4294967294" count="1" selected="0">
            <x v="0"/>
          </reference>
          <reference field="1" count="1" selected="0">
            <x v="0"/>
          </reference>
        </references>
      </pivotArea>
    </chartFormat>
    <chartFormat chart="27" format="157">
      <pivotArea type="data" outline="0" fieldPosition="0">
        <references count="2">
          <reference field="4294967294" count="1" selected="0">
            <x v="0"/>
          </reference>
          <reference field="1" count="1" selected="0">
            <x v="1"/>
          </reference>
        </references>
      </pivotArea>
    </chartFormat>
    <chartFormat chart="27" format="158">
      <pivotArea type="data" outline="0" fieldPosition="0">
        <references count="2">
          <reference field="4294967294" count="1" selected="0">
            <x v="0"/>
          </reference>
          <reference field="1" count="1" selected="0">
            <x v="2"/>
          </reference>
        </references>
      </pivotArea>
    </chartFormat>
    <chartFormat chart="27" format="159">
      <pivotArea type="data" outline="0" fieldPosition="0">
        <references count="2">
          <reference field="4294967294" count="1" selected="0">
            <x v="0"/>
          </reference>
          <reference field="1" count="1" selected="0">
            <x v="3"/>
          </reference>
        </references>
      </pivotArea>
    </chartFormat>
    <chartFormat chart="27" format="160">
      <pivotArea type="data" outline="0" fieldPosition="0">
        <references count="2">
          <reference field="4294967294" count="1" selected="0">
            <x v="0"/>
          </reference>
          <reference field="1" count="1" selected="0">
            <x v="4"/>
          </reference>
        </references>
      </pivotArea>
    </chartFormat>
    <chartFormat chart="27" format="161">
      <pivotArea type="data" outline="0" fieldPosition="0">
        <references count="2">
          <reference field="4294967294" count="1" selected="0">
            <x v="0"/>
          </reference>
          <reference field="1" count="1" selected="0">
            <x v="5"/>
          </reference>
        </references>
      </pivotArea>
    </chartFormat>
    <chartFormat chart="27" format="162">
      <pivotArea type="data" outline="0" fieldPosition="0">
        <references count="2">
          <reference field="4294967294" count="1" selected="0">
            <x v="0"/>
          </reference>
          <reference field="1" count="1" selected="0">
            <x v="6"/>
          </reference>
        </references>
      </pivotArea>
    </chartFormat>
    <chartFormat chart="27" format="163">
      <pivotArea type="data" outline="0" fieldPosition="0">
        <references count="2">
          <reference field="4294967294" count="1" selected="0">
            <x v="0"/>
          </reference>
          <reference field="1" count="1" selected="0">
            <x v="7"/>
          </reference>
        </references>
      </pivotArea>
    </chartFormat>
    <chartFormat chart="27" format="164">
      <pivotArea type="data" outline="0" fieldPosition="0">
        <references count="2">
          <reference field="4294967294" count="1" selected="0">
            <x v="0"/>
          </reference>
          <reference field="1" count="1" selected="0">
            <x v="8"/>
          </reference>
        </references>
      </pivotArea>
    </chartFormat>
    <chartFormat chart="27" format="165">
      <pivotArea type="data" outline="0" fieldPosition="0">
        <references count="2">
          <reference field="4294967294" count="1" selected="0">
            <x v="0"/>
          </reference>
          <reference field="1" count="1" selected="0">
            <x v="9"/>
          </reference>
        </references>
      </pivotArea>
    </chartFormat>
    <chartFormat chart="27" format="166">
      <pivotArea type="data" outline="0" fieldPosition="0">
        <references count="2">
          <reference field="4294967294" count="1" selected="0">
            <x v="0"/>
          </reference>
          <reference field="1" count="1" selected="0">
            <x v="10"/>
          </reference>
        </references>
      </pivotArea>
    </chartFormat>
    <chartFormat chart="27" format="167">
      <pivotArea type="data" outline="0" fieldPosition="0">
        <references count="2">
          <reference field="4294967294" count="1" selected="0">
            <x v="0"/>
          </reference>
          <reference field="1" count="1" selected="0">
            <x v="11"/>
          </reference>
        </references>
      </pivotArea>
    </chartFormat>
    <chartFormat chart="27" format="168">
      <pivotArea type="data" outline="0" fieldPosition="0">
        <references count="2">
          <reference field="4294967294" count="1" selected="0">
            <x v="0"/>
          </reference>
          <reference field="1" count="1" selected="0">
            <x v="12"/>
          </reference>
        </references>
      </pivotArea>
    </chartFormat>
    <chartFormat chart="27" format="169">
      <pivotArea type="data" outline="0" fieldPosition="0">
        <references count="2">
          <reference field="4294967294" count="1" selected="0">
            <x v="0"/>
          </reference>
          <reference field="1" count="1" selected="0">
            <x v="13"/>
          </reference>
        </references>
      </pivotArea>
    </chartFormat>
    <chartFormat chart="27" format="170">
      <pivotArea type="data" outline="0" fieldPosition="0">
        <references count="2">
          <reference field="4294967294" count="1" selected="0">
            <x v="0"/>
          </reference>
          <reference field="1" count="1" selected="0">
            <x v="14"/>
          </reference>
        </references>
      </pivotArea>
    </chartFormat>
    <chartFormat chart="27" format="171">
      <pivotArea type="data" outline="0" fieldPosition="0">
        <references count="2">
          <reference field="4294967294" count="1" selected="0">
            <x v="0"/>
          </reference>
          <reference field="1" count="1" selected="0">
            <x v="15"/>
          </reference>
        </references>
      </pivotArea>
    </chartFormat>
    <chartFormat chart="27" format="172">
      <pivotArea type="data" outline="0" fieldPosition="0">
        <references count="2">
          <reference field="4294967294" count="1" selected="0">
            <x v="0"/>
          </reference>
          <reference field="1" count="1" selected="0">
            <x v="16"/>
          </reference>
        </references>
      </pivotArea>
    </chartFormat>
    <chartFormat chart="27" format="173">
      <pivotArea type="data" outline="0" fieldPosition="0">
        <references count="2">
          <reference field="4294967294" count="1" selected="0">
            <x v="0"/>
          </reference>
          <reference field="1" count="1" selected="0">
            <x v="17"/>
          </reference>
        </references>
      </pivotArea>
    </chartFormat>
    <chartFormat chart="27" format="174">
      <pivotArea type="data" outline="0" fieldPosition="0">
        <references count="2">
          <reference field="4294967294" count="1" selected="0">
            <x v="0"/>
          </reference>
          <reference field="1" count="1" selected="0">
            <x v="18"/>
          </reference>
        </references>
      </pivotArea>
    </chartFormat>
    <chartFormat chart="27" format="175">
      <pivotArea type="data" outline="0" fieldPosition="0">
        <references count="2">
          <reference field="4294967294" count="1" selected="0">
            <x v="0"/>
          </reference>
          <reference field="1" count="1" selected="0">
            <x v="19"/>
          </reference>
        </references>
      </pivotArea>
    </chartFormat>
    <chartFormat chart="27" format="176">
      <pivotArea type="data" outline="0" fieldPosition="0">
        <references count="2">
          <reference field="4294967294" count="1" selected="0">
            <x v="0"/>
          </reference>
          <reference field="1" count="1" selected="0">
            <x v="20"/>
          </reference>
        </references>
      </pivotArea>
    </chartFormat>
    <chartFormat chart="27" format="177">
      <pivotArea type="data" outline="0" fieldPosition="0">
        <references count="2">
          <reference field="4294967294" count="1" selected="0">
            <x v="0"/>
          </reference>
          <reference field="1" count="1" selected="0">
            <x v="21"/>
          </reference>
        </references>
      </pivotArea>
    </chartFormat>
    <chartFormat chart="27" format="178">
      <pivotArea type="data" outline="0" fieldPosition="0">
        <references count="2">
          <reference field="4294967294" count="1" selected="0">
            <x v="0"/>
          </reference>
          <reference field="1" count="1" selected="0">
            <x v="22"/>
          </reference>
        </references>
      </pivotArea>
    </chartFormat>
    <chartFormat chart="27" format="179">
      <pivotArea type="data" outline="0" fieldPosition="0">
        <references count="2">
          <reference field="4294967294" count="1" selected="0">
            <x v="0"/>
          </reference>
          <reference field="1" count="1" selected="0">
            <x v="23"/>
          </reference>
        </references>
      </pivotArea>
    </chartFormat>
    <chartFormat chart="27" format="180">
      <pivotArea type="data" outline="0" fieldPosition="0">
        <references count="2">
          <reference field="4294967294" count="1" selected="0">
            <x v="0"/>
          </reference>
          <reference field="1" count="1" selected="0">
            <x v="24"/>
          </reference>
        </references>
      </pivotArea>
    </chartFormat>
    <chartFormat chart="27" format="181">
      <pivotArea type="data" outline="0" fieldPosition="0">
        <references count="2">
          <reference field="4294967294" count="1" selected="0">
            <x v="0"/>
          </reference>
          <reference field="1" count="1" selected="0">
            <x v="25"/>
          </reference>
        </references>
      </pivotArea>
    </chartFormat>
    <chartFormat chart="27" format="182">
      <pivotArea type="data" outline="0" fieldPosition="0">
        <references count="2">
          <reference field="4294967294" count="1" selected="0">
            <x v="0"/>
          </reference>
          <reference field="1" count="1" selected="0">
            <x v="26"/>
          </reference>
        </references>
      </pivotArea>
    </chartFormat>
    <chartFormat chart="27" format="183">
      <pivotArea type="data" outline="0" fieldPosition="0">
        <references count="2">
          <reference field="4294967294" count="1" selected="0">
            <x v="0"/>
          </reference>
          <reference field="1" count="1" selected="0">
            <x v="27"/>
          </reference>
        </references>
      </pivotArea>
    </chartFormat>
    <chartFormat chart="27" format="184">
      <pivotArea type="data" outline="0" fieldPosition="0">
        <references count="2">
          <reference field="4294967294" count="1" selected="0">
            <x v="0"/>
          </reference>
          <reference field="1" count="1" selected="0">
            <x v="28"/>
          </reference>
        </references>
      </pivotArea>
    </chartFormat>
    <chartFormat chart="27" format="185">
      <pivotArea type="data" outline="0" fieldPosition="0">
        <references count="2">
          <reference field="4294967294" count="1" selected="0">
            <x v="0"/>
          </reference>
          <reference field="1" count="1" selected="0">
            <x v="29"/>
          </reference>
        </references>
      </pivotArea>
    </chartFormat>
    <chartFormat chart="27" format="186">
      <pivotArea type="data" outline="0" fieldPosition="0">
        <references count="2">
          <reference field="4294967294" count="1" selected="0">
            <x v="0"/>
          </reference>
          <reference field="1" count="1" selected="0">
            <x v="30"/>
          </reference>
        </references>
      </pivotArea>
    </chartFormat>
    <chartFormat chart="27" format="187">
      <pivotArea type="data" outline="0" fieldPosition="0">
        <references count="2">
          <reference field="4294967294" count="1" selected="0">
            <x v="0"/>
          </reference>
          <reference field="1" count="1" selected="0">
            <x v="31"/>
          </reference>
        </references>
      </pivotArea>
    </chartFormat>
    <chartFormat chart="27" format="188">
      <pivotArea type="data" outline="0" fieldPosition="0">
        <references count="2">
          <reference field="4294967294" count="1" selected="0">
            <x v="0"/>
          </reference>
          <reference field="1" count="1" selected="0">
            <x v="32"/>
          </reference>
        </references>
      </pivotArea>
    </chartFormat>
    <chartFormat chart="27" format="189">
      <pivotArea type="data" outline="0" fieldPosition="0">
        <references count="2">
          <reference field="4294967294" count="1" selected="0">
            <x v="0"/>
          </reference>
          <reference field="1" count="1" selected="0">
            <x v="33"/>
          </reference>
        </references>
      </pivotArea>
    </chartFormat>
    <chartFormat chart="27" format="190">
      <pivotArea type="data" outline="0" fieldPosition="0">
        <references count="2">
          <reference field="4294967294" count="1" selected="0">
            <x v="0"/>
          </reference>
          <reference field="1" count="1" selected="0">
            <x v="34"/>
          </reference>
        </references>
      </pivotArea>
    </chartFormat>
    <chartFormat chart="27" format="191">
      <pivotArea type="data" outline="0" fieldPosition="0">
        <references count="2">
          <reference field="4294967294" count="1" selected="0">
            <x v="0"/>
          </reference>
          <reference field="1" count="1" selected="0">
            <x v="35"/>
          </reference>
        </references>
      </pivotArea>
    </chartFormat>
    <chartFormat chart="27" format="192">
      <pivotArea type="data" outline="0" fieldPosition="0">
        <references count="2">
          <reference field="4294967294" count="1" selected="0">
            <x v="0"/>
          </reference>
          <reference field="1" count="1" selected="0">
            <x v="36"/>
          </reference>
        </references>
      </pivotArea>
    </chartFormat>
    <chartFormat chart="27" format="193">
      <pivotArea type="data" outline="0" fieldPosition="0">
        <references count="2">
          <reference field="4294967294" count="1" selected="0">
            <x v="0"/>
          </reference>
          <reference field="1" count="1" selected="0">
            <x v="37"/>
          </reference>
        </references>
      </pivotArea>
    </chartFormat>
    <chartFormat chart="27" format="194">
      <pivotArea type="data" outline="0" fieldPosition="0">
        <references count="2">
          <reference field="4294967294" count="1" selected="0">
            <x v="0"/>
          </reference>
          <reference field="1" count="1" selected="0">
            <x v="38"/>
          </reference>
        </references>
      </pivotArea>
    </chartFormat>
    <chartFormat chart="27" format="195">
      <pivotArea type="data" outline="0" fieldPosition="0">
        <references count="2">
          <reference field="4294967294" count="1" selected="0">
            <x v="0"/>
          </reference>
          <reference field="1" count="1" selected="0">
            <x v="39"/>
          </reference>
        </references>
      </pivotArea>
    </chartFormat>
    <chartFormat chart="27" format="196">
      <pivotArea type="data" outline="0" fieldPosition="0">
        <references count="2">
          <reference field="4294967294" count="1" selected="0">
            <x v="0"/>
          </reference>
          <reference field="1" count="1" selected="0">
            <x v="40"/>
          </reference>
        </references>
      </pivotArea>
    </chartFormat>
    <chartFormat chart="27" format="197">
      <pivotArea type="data" outline="0" fieldPosition="0">
        <references count="2">
          <reference field="4294967294" count="1" selected="0">
            <x v="0"/>
          </reference>
          <reference field="1" count="1" selected="0">
            <x v="41"/>
          </reference>
        </references>
      </pivotArea>
    </chartFormat>
    <chartFormat chart="27" format="198">
      <pivotArea type="data" outline="0" fieldPosition="0">
        <references count="2">
          <reference field="4294967294" count="1" selected="0">
            <x v="0"/>
          </reference>
          <reference field="1" count="1" selected="0">
            <x v="42"/>
          </reference>
        </references>
      </pivotArea>
    </chartFormat>
    <chartFormat chart="27" format="199">
      <pivotArea type="data" outline="0" fieldPosition="0">
        <references count="2">
          <reference field="4294967294" count="1" selected="0">
            <x v="0"/>
          </reference>
          <reference field="1" count="1" selected="0">
            <x v="43"/>
          </reference>
        </references>
      </pivotArea>
    </chartFormat>
    <chartFormat chart="27" format="200">
      <pivotArea type="data" outline="0" fieldPosition="0">
        <references count="2">
          <reference field="4294967294" count="1" selected="0">
            <x v="0"/>
          </reference>
          <reference field="1" count="1" selected="0">
            <x v="44"/>
          </reference>
        </references>
      </pivotArea>
    </chartFormat>
    <chartFormat chart="27" format="201">
      <pivotArea type="data" outline="0" fieldPosition="0">
        <references count="2">
          <reference field="4294967294" count="1" selected="0">
            <x v="0"/>
          </reference>
          <reference field="1" count="1" selected="0">
            <x v="45"/>
          </reference>
        </references>
      </pivotArea>
    </chartFormat>
    <chartFormat chart="27" format="202">
      <pivotArea type="data" outline="0" fieldPosition="0">
        <references count="2">
          <reference field="4294967294" count="1" selected="0">
            <x v="0"/>
          </reference>
          <reference field="1" count="1" selected="0">
            <x v="46"/>
          </reference>
        </references>
      </pivotArea>
    </chartFormat>
    <chartFormat chart="27" format="203">
      <pivotArea type="data" outline="0" fieldPosition="0">
        <references count="2">
          <reference field="4294967294" count="1" selected="0">
            <x v="0"/>
          </reference>
          <reference field="1" count="1" selected="0">
            <x v="47"/>
          </reference>
        </references>
      </pivotArea>
    </chartFormat>
    <chartFormat chart="27" format="204">
      <pivotArea type="data" outline="0" fieldPosition="0">
        <references count="2">
          <reference field="4294967294" count="1" selected="0">
            <x v="0"/>
          </reference>
          <reference field="1" count="1" selected="0">
            <x v="48"/>
          </reference>
        </references>
      </pivotArea>
    </chartFormat>
    <chartFormat chart="27" format="205">
      <pivotArea type="data" outline="0" fieldPosition="0">
        <references count="2">
          <reference field="4294967294" count="1" selected="0">
            <x v="1"/>
          </reference>
          <reference field="1" count="1" selected="0">
            <x v="0"/>
          </reference>
        </references>
      </pivotArea>
    </chartFormat>
    <chartFormat chart="27" format="206">
      <pivotArea type="data" outline="0" fieldPosition="0">
        <references count="2">
          <reference field="4294967294" count="1" selected="0">
            <x v="1"/>
          </reference>
          <reference field="1" count="1" selected="0">
            <x v="1"/>
          </reference>
        </references>
      </pivotArea>
    </chartFormat>
    <chartFormat chart="27" format="207">
      <pivotArea type="data" outline="0" fieldPosition="0">
        <references count="2">
          <reference field="4294967294" count="1" selected="0">
            <x v="1"/>
          </reference>
          <reference field="1" count="1" selected="0">
            <x v="2"/>
          </reference>
        </references>
      </pivotArea>
    </chartFormat>
    <chartFormat chart="27" format="208">
      <pivotArea type="data" outline="0" fieldPosition="0">
        <references count="2">
          <reference field="4294967294" count="1" selected="0">
            <x v="1"/>
          </reference>
          <reference field="1" count="1" selected="0">
            <x v="3"/>
          </reference>
        </references>
      </pivotArea>
    </chartFormat>
    <chartFormat chart="27" format="209">
      <pivotArea type="data" outline="0" fieldPosition="0">
        <references count="2">
          <reference field="4294967294" count="1" selected="0">
            <x v="1"/>
          </reference>
          <reference field="1" count="1" selected="0">
            <x v="4"/>
          </reference>
        </references>
      </pivotArea>
    </chartFormat>
    <chartFormat chart="27" format="210">
      <pivotArea type="data" outline="0" fieldPosition="0">
        <references count="2">
          <reference field="4294967294" count="1" selected="0">
            <x v="1"/>
          </reference>
          <reference field="1" count="1" selected="0">
            <x v="5"/>
          </reference>
        </references>
      </pivotArea>
    </chartFormat>
    <chartFormat chart="27" format="211">
      <pivotArea type="data" outline="0" fieldPosition="0">
        <references count="2">
          <reference field="4294967294" count="1" selected="0">
            <x v="1"/>
          </reference>
          <reference field="1" count="1" selected="0">
            <x v="6"/>
          </reference>
        </references>
      </pivotArea>
    </chartFormat>
    <chartFormat chart="27" format="212">
      <pivotArea type="data" outline="0" fieldPosition="0">
        <references count="2">
          <reference field="4294967294" count="1" selected="0">
            <x v="1"/>
          </reference>
          <reference field="1" count="1" selected="0">
            <x v="7"/>
          </reference>
        </references>
      </pivotArea>
    </chartFormat>
    <chartFormat chart="27" format="213">
      <pivotArea type="data" outline="0" fieldPosition="0">
        <references count="2">
          <reference field="4294967294" count="1" selected="0">
            <x v="1"/>
          </reference>
          <reference field="1" count="1" selected="0">
            <x v="8"/>
          </reference>
        </references>
      </pivotArea>
    </chartFormat>
    <chartFormat chart="27" format="214">
      <pivotArea type="data" outline="0" fieldPosition="0">
        <references count="2">
          <reference field="4294967294" count="1" selected="0">
            <x v="1"/>
          </reference>
          <reference field="1" count="1" selected="0">
            <x v="9"/>
          </reference>
        </references>
      </pivotArea>
    </chartFormat>
    <chartFormat chart="27" format="215">
      <pivotArea type="data" outline="0" fieldPosition="0">
        <references count="2">
          <reference field="4294967294" count="1" selected="0">
            <x v="1"/>
          </reference>
          <reference field="1" count="1" selected="0">
            <x v="10"/>
          </reference>
        </references>
      </pivotArea>
    </chartFormat>
    <chartFormat chart="27" format="216">
      <pivotArea type="data" outline="0" fieldPosition="0">
        <references count="2">
          <reference field="4294967294" count="1" selected="0">
            <x v="1"/>
          </reference>
          <reference field="1" count="1" selected="0">
            <x v="11"/>
          </reference>
        </references>
      </pivotArea>
    </chartFormat>
    <chartFormat chart="27" format="217">
      <pivotArea type="data" outline="0" fieldPosition="0">
        <references count="2">
          <reference field="4294967294" count="1" selected="0">
            <x v="1"/>
          </reference>
          <reference field="1" count="1" selected="0">
            <x v="12"/>
          </reference>
        </references>
      </pivotArea>
    </chartFormat>
    <chartFormat chart="27" format="218">
      <pivotArea type="data" outline="0" fieldPosition="0">
        <references count="2">
          <reference field="4294967294" count="1" selected="0">
            <x v="1"/>
          </reference>
          <reference field="1" count="1" selected="0">
            <x v="13"/>
          </reference>
        </references>
      </pivotArea>
    </chartFormat>
    <chartFormat chart="27" format="219">
      <pivotArea type="data" outline="0" fieldPosition="0">
        <references count="2">
          <reference field="4294967294" count="1" selected="0">
            <x v="1"/>
          </reference>
          <reference field="1" count="1" selected="0">
            <x v="14"/>
          </reference>
        </references>
      </pivotArea>
    </chartFormat>
    <chartFormat chart="27" format="220">
      <pivotArea type="data" outline="0" fieldPosition="0">
        <references count="2">
          <reference field="4294967294" count="1" selected="0">
            <x v="1"/>
          </reference>
          <reference field="1" count="1" selected="0">
            <x v="15"/>
          </reference>
        </references>
      </pivotArea>
    </chartFormat>
    <chartFormat chart="27" format="221">
      <pivotArea type="data" outline="0" fieldPosition="0">
        <references count="2">
          <reference field="4294967294" count="1" selected="0">
            <x v="1"/>
          </reference>
          <reference field="1" count="1" selected="0">
            <x v="16"/>
          </reference>
        </references>
      </pivotArea>
    </chartFormat>
    <chartFormat chart="27" format="222">
      <pivotArea type="data" outline="0" fieldPosition="0">
        <references count="2">
          <reference field="4294967294" count="1" selected="0">
            <x v="1"/>
          </reference>
          <reference field="1" count="1" selected="0">
            <x v="17"/>
          </reference>
        </references>
      </pivotArea>
    </chartFormat>
    <chartFormat chart="27" format="223">
      <pivotArea type="data" outline="0" fieldPosition="0">
        <references count="2">
          <reference field="4294967294" count="1" selected="0">
            <x v="1"/>
          </reference>
          <reference field="1" count="1" selected="0">
            <x v="18"/>
          </reference>
        </references>
      </pivotArea>
    </chartFormat>
    <chartFormat chart="27" format="224">
      <pivotArea type="data" outline="0" fieldPosition="0">
        <references count="2">
          <reference field="4294967294" count="1" selected="0">
            <x v="1"/>
          </reference>
          <reference field="1" count="1" selected="0">
            <x v="19"/>
          </reference>
        </references>
      </pivotArea>
    </chartFormat>
    <chartFormat chart="27" format="225">
      <pivotArea type="data" outline="0" fieldPosition="0">
        <references count="2">
          <reference field="4294967294" count="1" selected="0">
            <x v="1"/>
          </reference>
          <reference field="1" count="1" selected="0">
            <x v="20"/>
          </reference>
        </references>
      </pivotArea>
    </chartFormat>
    <chartFormat chart="27" format="226">
      <pivotArea type="data" outline="0" fieldPosition="0">
        <references count="2">
          <reference field="4294967294" count="1" selected="0">
            <x v="1"/>
          </reference>
          <reference field="1" count="1" selected="0">
            <x v="21"/>
          </reference>
        </references>
      </pivotArea>
    </chartFormat>
    <chartFormat chart="27" format="227">
      <pivotArea type="data" outline="0" fieldPosition="0">
        <references count="2">
          <reference field="4294967294" count="1" selected="0">
            <x v="1"/>
          </reference>
          <reference field="1" count="1" selected="0">
            <x v="22"/>
          </reference>
        </references>
      </pivotArea>
    </chartFormat>
    <chartFormat chart="27" format="228">
      <pivotArea type="data" outline="0" fieldPosition="0">
        <references count="2">
          <reference field="4294967294" count="1" selected="0">
            <x v="1"/>
          </reference>
          <reference field="1" count="1" selected="0">
            <x v="23"/>
          </reference>
        </references>
      </pivotArea>
    </chartFormat>
    <chartFormat chart="27" format="229">
      <pivotArea type="data" outline="0" fieldPosition="0">
        <references count="2">
          <reference field="4294967294" count="1" selected="0">
            <x v="1"/>
          </reference>
          <reference field="1" count="1" selected="0">
            <x v="24"/>
          </reference>
        </references>
      </pivotArea>
    </chartFormat>
    <chartFormat chart="27" format="230">
      <pivotArea type="data" outline="0" fieldPosition="0">
        <references count="2">
          <reference field="4294967294" count="1" selected="0">
            <x v="1"/>
          </reference>
          <reference field="1" count="1" selected="0">
            <x v="25"/>
          </reference>
        </references>
      </pivotArea>
    </chartFormat>
    <chartFormat chart="27" format="231">
      <pivotArea type="data" outline="0" fieldPosition="0">
        <references count="2">
          <reference field="4294967294" count="1" selected="0">
            <x v="1"/>
          </reference>
          <reference field="1" count="1" selected="0">
            <x v="26"/>
          </reference>
        </references>
      </pivotArea>
    </chartFormat>
    <chartFormat chart="27" format="232">
      <pivotArea type="data" outline="0" fieldPosition="0">
        <references count="2">
          <reference field="4294967294" count="1" selected="0">
            <x v="1"/>
          </reference>
          <reference field="1" count="1" selected="0">
            <x v="27"/>
          </reference>
        </references>
      </pivotArea>
    </chartFormat>
    <chartFormat chart="27" format="233">
      <pivotArea type="data" outline="0" fieldPosition="0">
        <references count="2">
          <reference field="4294967294" count="1" selected="0">
            <x v="1"/>
          </reference>
          <reference field="1" count="1" selected="0">
            <x v="28"/>
          </reference>
        </references>
      </pivotArea>
    </chartFormat>
    <chartFormat chart="27" format="234">
      <pivotArea type="data" outline="0" fieldPosition="0">
        <references count="2">
          <reference field="4294967294" count="1" selected="0">
            <x v="1"/>
          </reference>
          <reference field="1" count="1" selected="0">
            <x v="29"/>
          </reference>
        </references>
      </pivotArea>
    </chartFormat>
    <chartFormat chart="27" format="235">
      <pivotArea type="data" outline="0" fieldPosition="0">
        <references count="2">
          <reference field="4294967294" count="1" selected="0">
            <x v="1"/>
          </reference>
          <reference field="1" count="1" selected="0">
            <x v="30"/>
          </reference>
        </references>
      </pivotArea>
    </chartFormat>
    <chartFormat chart="27" format="236">
      <pivotArea type="data" outline="0" fieldPosition="0">
        <references count="2">
          <reference field="4294967294" count="1" selected="0">
            <x v="1"/>
          </reference>
          <reference field="1" count="1" selected="0">
            <x v="31"/>
          </reference>
        </references>
      </pivotArea>
    </chartFormat>
    <chartFormat chart="27" format="237">
      <pivotArea type="data" outline="0" fieldPosition="0">
        <references count="2">
          <reference field="4294967294" count="1" selected="0">
            <x v="1"/>
          </reference>
          <reference field="1" count="1" selected="0">
            <x v="32"/>
          </reference>
        </references>
      </pivotArea>
    </chartFormat>
    <chartFormat chart="27" format="238">
      <pivotArea type="data" outline="0" fieldPosition="0">
        <references count="2">
          <reference field="4294967294" count="1" selected="0">
            <x v="1"/>
          </reference>
          <reference field="1" count="1" selected="0">
            <x v="33"/>
          </reference>
        </references>
      </pivotArea>
    </chartFormat>
    <chartFormat chart="27" format="239">
      <pivotArea type="data" outline="0" fieldPosition="0">
        <references count="2">
          <reference field="4294967294" count="1" selected="0">
            <x v="1"/>
          </reference>
          <reference field="1" count="1" selected="0">
            <x v="34"/>
          </reference>
        </references>
      </pivotArea>
    </chartFormat>
    <chartFormat chart="27" format="240">
      <pivotArea type="data" outline="0" fieldPosition="0">
        <references count="2">
          <reference field="4294967294" count="1" selected="0">
            <x v="1"/>
          </reference>
          <reference field="1" count="1" selected="0">
            <x v="35"/>
          </reference>
        </references>
      </pivotArea>
    </chartFormat>
    <chartFormat chart="27" format="241">
      <pivotArea type="data" outline="0" fieldPosition="0">
        <references count="2">
          <reference field="4294967294" count="1" selected="0">
            <x v="1"/>
          </reference>
          <reference field="1" count="1" selected="0">
            <x v="36"/>
          </reference>
        </references>
      </pivotArea>
    </chartFormat>
    <chartFormat chart="27" format="242">
      <pivotArea type="data" outline="0" fieldPosition="0">
        <references count="2">
          <reference field="4294967294" count="1" selected="0">
            <x v="1"/>
          </reference>
          <reference field="1" count="1" selected="0">
            <x v="37"/>
          </reference>
        </references>
      </pivotArea>
    </chartFormat>
    <chartFormat chart="27" format="243">
      <pivotArea type="data" outline="0" fieldPosition="0">
        <references count="2">
          <reference field="4294967294" count="1" selected="0">
            <x v="1"/>
          </reference>
          <reference field="1" count="1" selected="0">
            <x v="38"/>
          </reference>
        </references>
      </pivotArea>
    </chartFormat>
    <chartFormat chart="27" format="244">
      <pivotArea type="data" outline="0" fieldPosition="0">
        <references count="2">
          <reference field="4294967294" count="1" selected="0">
            <x v="1"/>
          </reference>
          <reference field="1" count="1" selected="0">
            <x v="39"/>
          </reference>
        </references>
      </pivotArea>
    </chartFormat>
    <chartFormat chart="27" format="245">
      <pivotArea type="data" outline="0" fieldPosition="0">
        <references count="2">
          <reference field="4294967294" count="1" selected="0">
            <x v="1"/>
          </reference>
          <reference field="1" count="1" selected="0">
            <x v="40"/>
          </reference>
        </references>
      </pivotArea>
    </chartFormat>
    <chartFormat chart="27" format="246">
      <pivotArea type="data" outline="0" fieldPosition="0">
        <references count="2">
          <reference field="4294967294" count="1" selected="0">
            <x v="1"/>
          </reference>
          <reference field="1" count="1" selected="0">
            <x v="41"/>
          </reference>
        </references>
      </pivotArea>
    </chartFormat>
    <chartFormat chart="27" format="247">
      <pivotArea type="data" outline="0" fieldPosition="0">
        <references count="2">
          <reference field="4294967294" count="1" selected="0">
            <x v="1"/>
          </reference>
          <reference field="1" count="1" selected="0">
            <x v="42"/>
          </reference>
        </references>
      </pivotArea>
    </chartFormat>
    <chartFormat chart="27" format="248">
      <pivotArea type="data" outline="0" fieldPosition="0">
        <references count="2">
          <reference field="4294967294" count="1" selected="0">
            <x v="1"/>
          </reference>
          <reference field="1" count="1" selected="0">
            <x v="43"/>
          </reference>
        </references>
      </pivotArea>
    </chartFormat>
    <chartFormat chart="27" format="249">
      <pivotArea type="data" outline="0" fieldPosition="0">
        <references count="2">
          <reference field="4294967294" count="1" selected="0">
            <x v="1"/>
          </reference>
          <reference field="1" count="1" selected="0">
            <x v="44"/>
          </reference>
        </references>
      </pivotArea>
    </chartFormat>
    <chartFormat chart="27" format="250">
      <pivotArea type="data" outline="0" fieldPosition="0">
        <references count="2">
          <reference field="4294967294" count="1" selected="0">
            <x v="1"/>
          </reference>
          <reference field="1" count="1" selected="0">
            <x v="45"/>
          </reference>
        </references>
      </pivotArea>
    </chartFormat>
    <chartFormat chart="27" format="251">
      <pivotArea type="data" outline="0" fieldPosition="0">
        <references count="2">
          <reference field="4294967294" count="1" selected="0">
            <x v="1"/>
          </reference>
          <reference field="1" count="1" selected="0">
            <x v="46"/>
          </reference>
        </references>
      </pivotArea>
    </chartFormat>
    <chartFormat chart="27" format="252">
      <pivotArea type="data" outline="0" fieldPosition="0">
        <references count="2">
          <reference field="4294967294" count="1" selected="0">
            <x v="1"/>
          </reference>
          <reference field="1" count="1" selected="0">
            <x v="47"/>
          </reference>
        </references>
      </pivotArea>
    </chartFormat>
    <chartFormat chart="27" format="253">
      <pivotArea type="data" outline="0" fieldPosition="0">
        <references count="2">
          <reference field="4294967294" count="1" selected="0">
            <x v="1"/>
          </reference>
          <reference field="1" count="1" selected="0">
            <x v="48"/>
          </reference>
        </references>
      </pivotArea>
    </chartFormat>
    <chartFormat chart="30" format="354" series="1">
      <pivotArea type="data" outline="0" fieldPosition="0">
        <references count="1">
          <reference field="4294967294" count="1" selected="0">
            <x v="0"/>
          </reference>
        </references>
      </pivotArea>
    </chartFormat>
    <chartFormat chart="30" format="355">
      <pivotArea type="data" outline="0" fieldPosition="0">
        <references count="2">
          <reference field="4294967294" count="1" selected="0">
            <x v="0"/>
          </reference>
          <reference field="1" count="1" selected="0">
            <x v="0"/>
          </reference>
        </references>
      </pivotArea>
    </chartFormat>
    <chartFormat chart="30" format="356">
      <pivotArea type="data" outline="0" fieldPosition="0">
        <references count="2">
          <reference field="4294967294" count="1" selected="0">
            <x v="0"/>
          </reference>
          <reference field="1" count="1" selected="0">
            <x v="1"/>
          </reference>
        </references>
      </pivotArea>
    </chartFormat>
    <chartFormat chart="30" format="357">
      <pivotArea type="data" outline="0" fieldPosition="0">
        <references count="2">
          <reference field="4294967294" count="1" selected="0">
            <x v="0"/>
          </reference>
          <reference field="1" count="1" selected="0">
            <x v="2"/>
          </reference>
        </references>
      </pivotArea>
    </chartFormat>
    <chartFormat chart="30" format="358">
      <pivotArea type="data" outline="0" fieldPosition="0">
        <references count="2">
          <reference field="4294967294" count="1" selected="0">
            <x v="0"/>
          </reference>
          <reference field="1" count="1" selected="0">
            <x v="3"/>
          </reference>
        </references>
      </pivotArea>
    </chartFormat>
    <chartFormat chart="30" format="359">
      <pivotArea type="data" outline="0" fieldPosition="0">
        <references count="2">
          <reference field="4294967294" count="1" selected="0">
            <x v="0"/>
          </reference>
          <reference field="1" count="1" selected="0">
            <x v="4"/>
          </reference>
        </references>
      </pivotArea>
    </chartFormat>
    <chartFormat chart="30" format="360">
      <pivotArea type="data" outline="0" fieldPosition="0">
        <references count="2">
          <reference field="4294967294" count="1" selected="0">
            <x v="0"/>
          </reference>
          <reference field="1" count="1" selected="0">
            <x v="5"/>
          </reference>
        </references>
      </pivotArea>
    </chartFormat>
    <chartFormat chart="30" format="361">
      <pivotArea type="data" outline="0" fieldPosition="0">
        <references count="2">
          <reference field="4294967294" count="1" selected="0">
            <x v="0"/>
          </reference>
          <reference field="1" count="1" selected="0">
            <x v="6"/>
          </reference>
        </references>
      </pivotArea>
    </chartFormat>
    <chartFormat chart="30" format="362">
      <pivotArea type="data" outline="0" fieldPosition="0">
        <references count="2">
          <reference field="4294967294" count="1" selected="0">
            <x v="0"/>
          </reference>
          <reference field="1" count="1" selected="0">
            <x v="7"/>
          </reference>
        </references>
      </pivotArea>
    </chartFormat>
    <chartFormat chart="30" format="363">
      <pivotArea type="data" outline="0" fieldPosition="0">
        <references count="2">
          <reference field="4294967294" count="1" selected="0">
            <x v="0"/>
          </reference>
          <reference field="1" count="1" selected="0">
            <x v="8"/>
          </reference>
        </references>
      </pivotArea>
    </chartFormat>
    <chartFormat chart="30" format="364">
      <pivotArea type="data" outline="0" fieldPosition="0">
        <references count="2">
          <reference field="4294967294" count="1" selected="0">
            <x v="0"/>
          </reference>
          <reference field="1" count="1" selected="0">
            <x v="9"/>
          </reference>
        </references>
      </pivotArea>
    </chartFormat>
    <chartFormat chart="30" format="365">
      <pivotArea type="data" outline="0" fieldPosition="0">
        <references count="2">
          <reference field="4294967294" count="1" selected="0">
            <x v="0"/>
          </reference>
          <reference field="1" count="1" selected="0">
            <x v="10"/>
          </reference>
        </references>
      </pivotArea>
    </chartFormat>
    <chartFormat chart="30" format="366">
      <pivotArea type="data" outline="0" fieldPosition="0">
        <references count="2">
          <reference field="4294967294" count="1" selected="0">
            <x v="0"/>
          </reference>
          <reference field="1" count="1" selected="0">
            <x v="11"/>
          </reference>
        </references>
      </pivotArea>
    </chartFormat>
    <chartFormat chart="30" format="367">
      <pivotArea type="data" outline="0" fieldPosition="0">
        <references count="2">
          <reference field="4294967294" count="1" selected="0">
            <x v="0"/>
          </reference>
          <reference field="1" count="1" selected="0">
            <x v="12"/>
          </reference>
        </references>
      </pivotArea>
    </chartFormat>
    <chartFormat chart="30" format="368">
      <pivotArea type="data" outline="0" fieldPosition="0">
        <references count="2">
          <reference field="4294967294" count="1" selected="0">
            <x v="0"/>
          </reference>
          <reference field="1" count="1" selected="0">
            <x v="13"/>
          </reference>
        </references>
      </pivotArea>
    </chartFormat>
    <chartFormat chart="30" format="369">
      <pivotArea type="data" outline="0" fieldPosition="0">
        <references count="2">
          <reference field="4294967294" count="1" selected="0">
            <x v="0"/>
          </reference>
          <reference field="1" count="1" selected="0">
            <x v="14"/>
          </reference>
        </references>
      </pivotArea>
    </chartFormat>
    <chartFormat chart="30" format="370">
      <pivotArea type="data" outline="0" fieldPosition="0">
        <references count="2">
          <reference field="4294967294" count="1" selected="0">
            <x v="0"/>
          </reference>
          <reference field="1" count="1" selected="0">
            <x v="15"/>
          </reference>
        </references>
      </pivotArea>
    </chartFormat>
    <chartFormat chart="30" format="371">
      <pivotArea type="data" outline="0" fieldPosition="0">
        <references count="2">
          <reference field="4294967294" count="1" selected="0">
            <x v="0"/>
          </reference>
          <reference field="1" count="1" selected="0">
            <x v="16"/>
          </reference>
        </references>
      </pivotArea>
    </chartFormat>
    <chartFormat chart="30" format="372">
      <pivotArea type="data" outline="0" fieldPosition="0">
        <references count="2">
          <reference field="4294967294" count="1" selected="0">
            <x v="0"/>
          </reference>
          <reference field="1" count="1" selected="0">
            <x v="17"/>
          </reference>
        </references>
      </pivotArea>
    </chartFormat>
    <chartFormat chart="30" format="373">
      <pivotArea type="data" outline="0" fieldPosition="0">
        <references count="2">
          <reference field="4294967294" count="1" selected="0">
            <x v="0"/>
          </reference>
          <reference field="1" count="1" selected="0">
            <x v="18"/>
          </reference>
        </references>
      </pivotArea>
    </chartFormat>
    <chartFormat chart="30" format="374">
      <pivotArea type="data" outline="0" fieldPosition="0">
        <references count="2">
          <reference field="4294967294" count="1" selected="0">
            <x v="0"/>
          </reference>
          <reference field="1" count="1" selected="0">
            <x v="19"/>
          </reference>
        </references>
      </pivotArea>
    </chartFormat>
    <chartFormat chart="30" format="375">
      <pivotArea type="data" outline="0" fieldPosition="0">
        <references count="2">
          <reference field="4294967294" count="1" selected="0">
            <x v="0"/>
          </reference>
          <reference field="1" count="1" selected="0">
            <x v="20"/>
          </reference>
        </references>
      </pivotArea>
    </chartFormat>
    <chartFormat chart="30" format="376">
      <pivotArea type="data" outline="0" fieldPosition="0">
        <references count="2">
          <reference field="4294967294" count="1" selected="0">
            <x v="0"/>
          </reference>
          <reference field="1" count="1" selected="0">
            <x v="21"/>
          </reference>
        </references>
      </pivotArea>
    </chartFormat>
    <chartFormat chart="30" format="377">
      <pivotArea type="data" outline="0" fieldPosition="0">
        <references count="2">
          <reference field="4294967294" count="1" selected="0">
            <x v="0"/>
          </reference>
          <reference field="1" count="1" selected="0">
            <x v="22"/>
          </reference>
        </references>
      </pivotArea>
    </chartFormat>
    <chartFormat chart="30" format="378">
      <pivotArea type="data" outline="0" fieldPosition="0">
        <references count="2">
          <reference field="4294967294" count="1" selected="0">
            <x v="0"/>
          </reference>
          <reference field="1" count="1" selected="0">
            <x v="23"/>
          </reference>
        </references>
      </pivotArea>
    </chartFormat>
    <chartFormat chart="30" format="379">
      <pivotArea type="data" outline="0" fieldPosition="0">
        <references count="2">
          <reference field="4294967294" count="1" selected="0">
            <x v="0"/>
          </reference>
          <reference field="1" count="1" selected="0">
            <x v="24"/>
          </reference>
        </references>
      </pivotArea>
    </chartFormat>
    <chartFormat chart="30" format="380">
      <pivotArea type="data" outline="0" fieldPosition="0">
        <references count="2">
          <reference field="4294967294" count="1" selected="0">
            <x v="0"/>
          </reference>
          <reference field="1" count="1" selected="0">
            <x v="25"/>
          </reference>
        </references>
      </pivotArea>
    </chartFormat>
    <chartFormat chart="30" format="381">
      <pivotArea type="data" outline="0" fieldPosition="0">
        <references count="2">
          <reference field="4294967294" count="1" selected="0">
            <x v="0"/>
          </reference>
          <reference field="1" count="1" selected="0">
            <x v="26"/>
          </reference>
        </references>
      </pivotArea>
    </chartFormat>
    <chartFormat chart="30" format="382">
      <pivotArea type="data" outline="0" fieldPosition="0">
        <references count="2">
          <reference field="4294967294" count="1" selected="0">
            <x v="0"/>
          </reference>
          <reference field="1" count="1" selected="0">
            <x v="27"/>
          </reference>
        </references>
      </pivotArea>
    </chartFormat>
    <chartFormat chart="30" format="383">
      <pivotArea type="data" outline="0" fieldPosition="0">
        <references count="2">
          <reference field="4294967294" count="1" selected="0">
            <x v="0"/>
          </reference>
          <reference field="1" count="1" selected="0">
            <x v="28"/>
          </reference>
        </references>
      </pivotArea>
    </chartFormat>
    <chartFormat chart="30" format="384">
      <pivotArea type="data" outline="0" fieldPosition="0">
        <references count="2">
          <reference field="4294967294" count="1" selected="0">
            <x v="0"/>
          </reference>
          <reference field="1" count="1" selected="0">
            <x v="29"/>
          </reference>
        </references>
      </pivotArea>
    </chartFormat>
    <chartFormat chart="30" format="385">
      <pivotArea type="data" outline="0" fieldPosition="0">
        <references count="2">
          <reference field="4294967294" count="1" selected="0">
            <x v="0"/>
          </reference>
          <reference field="1" count="1" selected="0">
            <x v="30"/>
          </reference>
        </references>
      </pivotArea>
    </chartFormat>
    <chartFormat chart="30" format="386">
      <pivotArea type="data" outline="0" fieldPosition="0">
        <references count="2">
          <reference field="4294967294" count="1" selected="0">
            <x v="0"/>
          </reference>
          <reference field="1" count="1" selected="0">
            <x v="31"/>
          </reference>
        </references>
      </pivotArea>
    </chartFormat>
    <chartFormat chart="30" format="387">
      <pivotArea type="data" outline="0" fieldPosition="0">
        <references count="2">
          <reference field="4294967294" count="1" selected="0">
            <x v="0"/>
          </reference>
          <reference field="1" count="1" selected="0">
            <x v="32"/>
          </reference>
        </references>
      </pivotArea>
    </chartFormat>
    <chartFormat chart="30" format="388">
      <pivotArea type="data" outline="0" fieldPosition="0">
        <references count="2">
          <reference field="4294967294" count="1" selected="0">
            <x v="0"/>
          </reference>
          <reference field="1" count="1" selected="0">
            <x v="33"/>
          </reference>
        </references>
      </pivotArea>
    </chartFormat>
    <chartFormat chart="30" format="389">
      <pivotArea type="data" outline="0" fieldPosition="0">
        <references count="2">
          <reference field="4294967294" count="1" selected="0">
            <x v="0"/>
          </reference>
          <reference field="1" count="1" selected="0">
            <x v="34"/>
          </reference>
        </references>
      </pivotArea>
    </chartFormat>
    <chartFormat chart="30" format="390">
      <pivotArea type="data" outline="0" fieldPosition="0">
        <references count="2">
          <reference field="4294967294" count="1" selected="0">
            <x v="0"/>
          </reference>
          <reference field="1" count="1" selected="0">
            <x v="35"/>
          </reference>
        </references>
      </pivotArea>
    </chartFormat>
    <chartFormat chart="30" format="391">
      <pivotArea type="data" outline="0" fieldPosition="0">
        <references count="2">
          <reference field="4294967294" count="1" selected="0">
            <x v="0"/>
          </reference>
          <reference field="1" count="1" selected="0">
            <x v="36"/>
          </reference>
        </references>
      </pivotArea>
    </chartFormat>
    <chartFormat chart="30" format="392">
      <pivotArea type="data" outline="0" fieldPosition="0">
        <references count="2">
          <reference field="4294967294" count="1" selected="0">
            <x v="0"/>
          </reference>
          <reference field="1" count="1" selected="0">
            <x v="37"/>
          </reference>
        </references>
      </pivotArea>
    </chartFormat>
    <chartFormat chart="30" format="393">
      <pivotArea type="data" outline="0" fieldPosition="0">
        <references count="2">
          <reference field="4294967294" count="1" selected="0">
            <x v="0"/>
          </reference>
          <reference field="1" count="1" selected="0">
            <x v="38"/>
          </reference>
        </references>
      </pivotArea>
    </chartFormat>
    <chartFormat chart="30" format="394">
      <pivotArea type="data" outline="0" fieldPosition="0">
        <references count="2">
          <reference field="4294967294" count="1" selected="0">
            <x v="0"/>
          </reference>
          <reference field="1" count="1" selected="0">
            <x v="39"/>
          </reference>
        </references>
      </pivotArea>
    </chartFormat>
    <chartFormat chart="30" format="395">
      <pivotArea type="data" outline="0" fieldPosition="0">
        <references count="2">
          <reference field="4294967294" count="1" selected="0">
            <x v="0"/>
          </reference>
          <reference field="1" count="1" selected="0">
            <x v="40"/>
          </reference>
        </references>
      </pivotArea>
    </chartFormat>
    <chartFormat chart="30" format="396">
      <pivotArea type="data" outline="0" fieldPosition="0">
        <references count="2">
          <reference field="4294967294" count="1" selected="0">
            <x v="0"/>
          </reference>
          <reference field="1" count="1" selected="0">
            <x v="41"/>
          </reference>
        </references>
      </pivotArea>
    </chartFormat>
    <chartFormat chart="30" format="397">
      <pivotArea type="data" outline="0" fieldPosition="0">
        <references count="2">
          <reference field="4294967294" count="1" selected="0">
            <x v="0"/>
          </reference>
          <reference field="1" count="1" selected="0">
            <x v="42"/>
          </reference>
        </references>
      </pivotArea>
    </chartFormat>
    <chartFormat chart="30" format="398">
      <pivotArea type="data" outline="0" fieldPosition="0">
        <references count="2">
          <reference field="4294967294" count="1" selected="0">
            <x v="0"/>
          </reference>
          <reference field="1" count="1" selected="0">
            <x v="43"/>
          </reference>
        </references>
      </pivotArea>
    </chartFormat>
    <chartFormat chart="30" format="399">
      <pivotArea type="data" outline="0" fieldPosition="0">
        <references count="2">
          <reference field="4294967294" count="1" selected="0">
            <x v="0"/>
          </reference>
          <reference field="1" count="1" selected="0">
            <x v="44"/>
          </reference>
        </references>
      </pivotArea>
    </chartFormat>
    <chartFormat chart="30" format="400">
      <pivotArea type="data" outline="0" fieldPosition="0">
        <references count="2">
          <reference field="4294967294" count="1" selected="0">
            <x v="0"/>
          </reference>
          <reference field="1" count="1" selected="0">
            <x v="45"/>
          </reference>
        </references>
      </pivotArea>
    </chartFormat>
    <chartFormat chart="30" format="401">
      <pivotArea type="data" outline="0" fieldPosition="0">
        <references count="2">
          <reference field="4294967294" count="1" selected="0">
            <x v="0"/>
          </reference>
          <reference field="1" count="1" selected="0">
            <x v="46"/>
          </reference>
        </references>
      </pivotArea>
    </chartFormat>
    <chartFormat chart="30" format="402">
      <pivotArea type="data" outline="0" fieldPosition="0">
        <references count="2">
          <reference field="4294967294" count="1" selected="0">
            <x v="0"/>
          </reference>
          <reference field="1" count="1" selected="0">
            <x v="47"/>
          </reference>
        </references>
      </pivotArea>
    </chartFormat>
    <chartFormat chart="30" format="403">
      <pivotArea type="data" outline="0" fieldPosition="0">
        <references count="2">
          <reference field="4294967294" count="1" selected="0">
            <x v="0"/>
          </reference>
          <reference field="1" count="1" selected="0">
            <x v="48"/>
          </reference>
        </references>
      </pivotArea>
    </chartFormat>
    <chartFormat chart="30" format="404" series="1">
      <pivotArea type="data" outline="0" fieldPosition="0">
        <references count="1">
          <reference field="4294967294" count="1" selected="0">
            <x v="1"/>
          </reference>
        </references>
      </pivotArea>
    </chartFormat>
    <chartFormat chart="30" format="405">
      <pivotArea type="data" outline="0" fieldPosition="0">
        <references count="2">
          <reference field="4294967294" count="1" selected="0">
            <x v="1"/>
          </reference>
          <reference field="1" count="1" selected="0">
            <x v="0"/>
          </reference>
        </references>
      </pivotArea>
    </chartFormat>
    <chartFormat chart="30" format="406">
      <pivotArea type="data" outline="0" fieldPosition="0">
        <references count="2">
          <reference field="4294967294" count="1" selected="0">
            <x v="1"/>
          </reference>
          <reference field="1" count="1" selected="0">
            <x v="1"/>
          </reference>
        </references>
      </pivotArea>
    </chartFormat>
    <chartFormat chart="30" format="407">
      <pivotArea type="data" outline="0" fieldPosition="0">
        <references count="2">
          <reference field="4294967294" count="1" selected="0">
            <x v="1"/>
          </reference>
          <reference field="1" count="1" selected="0">
            <x v="2"/>
          </reference>
        </references>
      </pivotArea>
    </chartFormat>
    <chartFormat chart="30" format="408">
      <pivotArea type="data" outline="0" fieldPosition="0">
        <references count="2">
          <reference field="4294967294" count="1" selected="0">
            <x v="1"/>
          </reference>
          <reference field="1" count="1" selected="0">
            <x v="3"/>
          </reference>
        </references>
      </pivotArea>
    </chartFormat>
    <chartFormat chart="30" format="409">
      <pivotArea type="data" outline="0" fieldPosition="0">
        <references count="2">
          <reference field="4294967294" count="1" selected="0">
            <x v="1"/>
          </reference>
          <reference field="1" count="1" selected="0">
            <x v="4"/>
          </reference>
        </references>
      </pivotArea>
    </chartFormat>
    <chartFormat chart="30" format="410">
      <pivotArea type="data" outline="0" fieldPosition="0">
        <references count="2">
          <reference field="4294967294" count="1" selected="0">
            <x v="1"/>
          </reference>
          <reference field="1" count="1" selected="0">
            <x v="5"/>
          </reference>
        </references>
      </pivotArea>
    </chartFormat>
    <chartFormat chart="30" format="411">
      <pivotArea type="data" outline="0" fieldPosition="0">
        <references count="2">
          <reference field="4294967294" count="1" selected="0">
            <x v="1"/>
          </reference>
          <reference field="1" count="1" selected="0">
            <x v="6"/>
          </reference>
        </references>
      </pivotArea>
    </chartFormat>
    <chartFormat chart="30" format="412">
      <pivotArea type="data" outline="0" fieldPosition="0">
        <references count="2">
          <reference field="4294967294" count="1" selected="0">
            <x v="1"/>
          </reference>
          <reference field="1" count="1" selected="0">
            <x v="7"/>
          </reference>
        </references>
      </pivotArea>
    </chartFormat>
    <chartFormat chart="30" format="413">
      <pivotArea type="data" outline="0" fieldPosition="0">
        <references count="2">
          <reference field="4294967294" count="1" selected="0">
            <x v="1"/>
          </reference>
          <reference field="1" count="1" selected="0">
            <x v="8"/>
          </reference>
        </references>
      </pivotArea>
    </chartFormat>
    <chartFormat chart="30" format="414">
      <pivotArea type="data" outline="0" fieldPosition="0">
        <references count="2">
          <reference field="4294967294" count="1" selected="0">
            <x v="1"/>
          </reference>
          <reference field="1" count="1" selected="0">
            <x v="9"/>
          </reference>
        </references>
      </pivotArea>
    </chartFormat>
    <chartFormat chart="30" format="415">
      <pivotArea type="data" outline="0" fieldPosition="0">
        <references count="2">
          <reference field="4294967294" count="1" selected="0">
            <x v="1"/>
          </reference>
          <reference field="1" count="1" selected="0">
            <x v="10"/>
          </reference>
        </references>
      </pivotArea>
    </chartFormat>
    <chartFormat chart="30" format="416">
      <pivotArea type="data" outline="0" fieldPosition="0">
        <references count="2">
          <reference field="4294967294" count="1" selected="0">
            <x v="1"/>
          </reference>
          <reference field="1" count="1" selected="0">
            <x v="11"/>
          </reference>
        </references>
      </pivotArea>
    </chartFormat>
    <chartFormat chart="30" format="417">
      <pivotArea type="data" outline="0" fieldPosition="0">
        <references count="2">
          <reference field="4294967294" count="1" selected="0">
            <x v="1"/>
          </reference>
          <reference field="1" count="1" selected="0">
            <x v="12"/>
          </reference>
        </references>
      </pivotArea>
    </chartFormat>
    <chartFormat chart="30" format="418">
      <pivotArea type="data" outline="0" fieldPosition="0">
        <references count="2">
          <reference field="4294967294" count="1" selected="0">
            <x v="1"/>
          </reference>
          <reference field="1" count="1" selected="0">
            <x v="13"/>
          </reference>
        </references>
      </pivotArea>
    </chartFormat>
    <chartFormat chart="30" format="419">
      <pivotArea type="data" outline="0" fieldPosition="0">
        <references count="2">
          <reference field="4294967294" count="1" selected="0">
            <x v="1"/>
          </reference>
          <reference field="1" count="1" selected="0">
            <x v="14"/>
          </reference>
        </references>
      </pivotArea>
    </chartFormat>
    <chartFormat chart="30" format="420">
      <pivotArea type="data" outline="0" fieldPosition="0">
        <references count="2">
          <reference field="4294967294" count="1" selected="0">
            <x v="1"/>
          </reference>
          <reference field="1" count="1" selected="0">
            <x v="15"/>
          </reference>
        </references>
      </pivotArea>
    </chartFormat>
    <chartFormat chart="30" format="421">
      <pivotArea type="data" outline="0" fieldPosition="0">
        <references count="2">
          <reference field="4294967294" count="1" selected="0">
            <x v="1"/>
          </reference>
          <reference field="1" count="1" selected="0">
            <x v="16"/>
          </reference>
        </references>
      </pivotArea>
    </chartFormat>
    <chartFormat chart="30" format="422">
      <pivotArea type="data" outline="0" fieldPosition="0">
        <references count="2">
          <reference field="4294967294" count="1" selected="0">
            <x v="1"/>
          </reference>
          <reference field="1" count="1" selected="0">
            <x v="17"/>
          </reference>
        </references>
      </pivotArea>
    </chartFormat>
    <chartFormat chart="30" format="423">
      <pivotArea type="data" outline="0" fieldPosition="0">
        <references count="2">
          <reference field="4294967294" count="1" selected="0">
            <x v="1"/>
          </reference>
          <reference field="1" count="1" selected="0">
            <x v="18"/>
          </reference>
        </references>
      </pivotArea>
    </chartFormat>
    <chartFormat chart="30" format="424">
      <pivotArea type="data" outline="0" fieldPosition="0">
        <references count="2">
          <reference field="4294967294" count="1" selected="0">
            <x v="1"/>
          </reference>
          <reference field="1" count="1" selected="0">
            <x v="19"/>
          </reference>
        </references>
      </pivotArea>
    </chartFormat>
    <chartFormat chart="30" format="425">
      <pivotArea type="data" outline="0" fieldPosition="0">
        <references count="2">
          <reference field="4294967294" count="1" selected="0">
            <x v="1"/>
          </reference>
          <reference field="1" count="1" selected="0">
            <x v="20"/>
          </reference>
        </references>
      </pivotArea>
    </chartFormat>
    <chartFormat chart="30" format="426">
      <pivotArea type="data" outline="0" fieldPosition="0">
        <references count="2">
          <reference field="4294967294" count="1" selected="0">
            <x v="1"/>
          </reference>
          <reference field="1" count="1" selected="0">
            <x v="21"/>
          </reference>
        </references>
      </pivotArea>
    </chartFormat>
    <chartFormat chart="30" format="427">
      <pivotArea type="data" outline="0" fieldPosition="0">
        <references count="2">
          <reference field="4294967294" count="1" selected="0">
            <x v="1"/>
          </reference>
          <reference field="1" count="1" selected="0">
            <x v="22"/>
          </reference>
        </references>
      </pivotArea>
    </chartFormat>
    <chartFormat chart="30" format="428">
      <pivotArea type="data" outline="0" fieldPosition="0">
        <references count="2">
          <reference field="4294967294" count="1" selected="0">
            <x v="1"/>
          </reference>
          <reference field="1" count="1" selected="0">
            <x v="23"/>
          </reference>
        </references>
      </pivotArea>
    </chartFormat>
    <chartFormat chart="30" format="429">
      <pivotArea type="data" outline="0" fieldPosition="0">
        <references count="2">
          <reference field="4294967294" count="1" selected="0">
            <x v="1"/>
          </reference>
          <reference field="1" count="1" selected="0">
            <x v="24"/>
          </reference>
        </references>
      </pivotArea>
    </chartFormat>
    <chartFormat chart="30" format="430">
      <pivotArea type="data" outline="0" fieldPosition="0">
        <references count="2">
          <reference field="4294967294" count="1" selected="0">
            <x v="1"/>
          </reference>
          <reference field="1" count="1" selected="0">
            <x v="25"/>
          </reference>
        </references>
      </pivotArea>
    </chartFormat>
    <chartFormat chart="30" format="431">
      <pivotArea type="data" outline="0" fieldPosition="0">
        <references count="2">
          <reference field="4294967294" count="1" selected="0">
            <x v="1"/>
          </reference>
          <reference field="1" count="1" selected="0">
            <x v="26"/>
          </reference>
        </references>
      </pivotArea>
    </chartFormat>
    <chartFormat chart="30" format="432">
      <pivotArea type="data" outline="0" fieldPosition="0">
        <references count="2">
          <reference field="4294967294" count="1" selected="0">
            <x v="1"/>
          </reference>
          <reference field="1" count="1" selected="0">
            <x v="27"/>
          </reference>
        </references>
      </pivotArea>
    </chartFormat>
    <chartFormat chart="30" format="433">
      <pivotArea type="data" outline="0" fieldPosition="0">
        <references count="2">
          <reference field="4294967294" count="1" selected="0">
            <x v="1"/>
          </reference>
          <reference field="1" count="1" selected="0">
            <x v="28"/>
          </reference>
        </references>
      </pivotArea>
    </chartFormat>
    <chartFormat chart="30" format="434">
      <pivotArea type="data" outline="0" fieldPosition="0">
        <references count="2">
          <reference field="4294967294" count="1" selected="0">
            <x v="1"/>
          </reference>
          <reference field="1" count="1" selected="0">
            <x v="29"/>
          </reference>
        </references>
      </pivotArea>
    </chartFormat>
    <chartFormat chart="30" format="435">
      <pivotArea type="data" outline="0" fieldPosition="0">
        <references count="2">
          <reference field="4294967294" count="1" selected="0">
            <x v="1"/>
          </reference>
          <reference field="1" count="1" selected="0">
            <x v="30"/>
          </reference>
        </references>
      </pivotArea>
    </chartFormat>
    <chartFormat chart="30" format="436">
      <pivotArea type="data" outline="0" fieldPosition="0">
        <references count="2">
          <reference field="4294967294" count="1" selected="0">
            <x v="1"/>
          </reference>
          <reference field="1" count="1" selected="0">
            <x v="31"/>
          </reference>
        </references>
      </pivotArea>
    </chartFormat>
    <chartFormat chart="30" format="437">
      <pivotArea type="data" outline="0" fieldPosition="0">
        <references count="2">
          <reference field="4294967294" count="1" selected="0">
            <x v="1"/>
          </reference>
          <reference field="1" count="1" selected="0">
            <x v="32"/>
          </reference>
        </references>
      </pivotArea>
    </chartFormat>
    <chartFormat chart="30" format="438">
      <pivotArea type="data" outline="0" fieldPosition="0">
        <references count="2">
          <reference field="4294967294" count="1" selected="0">
            <x v="1"/>
          </reference>
          <reference field="1" count="1" selected="0">
            <x v="33"/>
          </reference>
        </references>
      </pivotArea>
    </chartFormat>
    <chartFormat chart="30" format="439">
      <pivotArea type="data" outline="0" fieldPosition="0">
        <references count="2">
          <reference field="4294967294" count="1" selected="0">
            <x v="1"/>
          </reference>
          <reference field="1" count="1" selected="0">
            <x v="34"/>
          </reference>
        </references>
      </pivotArea>
    </chartFormat>
    <chartFormat chart="30" format="440">
      <pivotArea type="data" outline="0" fieldPosition="0">
        <references count="2">
          <reference field="4294967294" count="1" selected="0">
            <x v="1"/>
          </reference>
          <reference field="1" count="1" selected="0">
            <x v="35"/>
          </reference>
        </references>
      </pivotArea>
    </chartFormat>
    <chartFormat chart="30" format="441">
      <pivotArea type="data" outline="0" fieldPosition="0">
        <references count="2">
          <reference field="4294967294" count="1" selected="0">
            <x v="1"/>
          </reference>
          <reference field="1" count="1" selected="0">
            <x v="36"/>
          </reference>
        </references>
      </pivotArea>
    </chartFormat>
    <chartFormat chart="30" format="442">
      <pivotArea type="data" outline="0" fieldPosition="0">
        <references count="2">
          <reference field="4294967294" count="1" selected="0">
            <x v="1"/>
          </reference>
          <reference field="1" count="1" selected="0">
            <x v="37"/>
          </reference>
        </references>
      </pivotArea>
    </chartFormat>
    <chartFormat chart="30" format="443">
      <pivotArea type="data" outline="0" fieldPosition="0">
        <references count="2">
          <reference field="4294967294" count="1" selected="0">
            <x v="1"/>
          </reference>
          <reference field="1" count="1" selected="0">
            <x v="38"/>
          </reference>
        </references>
      </pivotArea>
    </chartFormat>
    <chartFormat chart="30" format="444">
      <pivotArea type="data" outline="0" fieldPosition="0">
        <references count="2">
          <reference field="4294967294" count="1" selected="0">
            <x v="1"/>
          </reference>
          <reference field="1" count="1" selected="0">
            <x v="39"/>
          </reference>
        </references>
      </pivotArea>
    </chartFormat>
    <chartFormat chart="30" format="445">
      <pivotArea type="data" outline="0" fieldPosition="0">
        <references count="2">
          <reference field="4294967294" count="1" selected="0">
            <x v="1"/>
          </reference>
          <reference field="1" count="1" selected="0">
            <x v="40"/>
          </reference>
        </references>
      </pivotArea>
    </chartFormat>
    <chartFormat chart="30" format="446">
      <pivotArea type="data" outline="0" fieldPosition="0">
        <references count="2">
          <reference field="4294967294" count="1" selected="0">
            <x v="1"/>
          </reference>
          <reference field="1" count="1" selected="0">
            <x v="41"/>
          </reference>
        </references>
      </pivotArea>
    </chartFormat>
    <chartFormat chart="30" format="447">
      <pivotArea type="data" outline="0" fieldPosition="0">
        <references count="2">
          <reference field="4294967294" count="1" selected="0">
            <x v="1"/>
          </reference>
          <reference field="1" count="1" selected="0">
            <x v="42"/>
          </reference>
        </references>
      </pivotArea>
    </chartFormat>
    <chartFormat chart="30" format="448">
      <pivotArea type="data" outline="0" fieldPosition="0">
        <references count="2">
          <reference field="4294967294" count="1" selected="0">
            <x v="1"/>
          </reference>
          <reference field="1" count="1" selected="0">
            <x v="43"/>
          </reference>
        </references>
      </pivotArea>
    </chartFormat>
    <chartFormat chart="30" format="449">
      <pivotArea type="data" outline="0" fieldPosition="0">
        <references count="2">
          <reference field="4294967294" count="1" selected="0">
            <x v="1"/>
          </reference>
          <reference field="1" count="1" selected="0">
            <x v="44"/>
          </reference>
        </references>
      </pivotArea>
    </chartFormat>
    <chartFormat chart="30" format="450">
      <pivotArea type="data" outline="0" fieldPosition="0">
        <references count="2">
          <reference field="4294967294" count="1" selected="0">
            <x v="1"/>
          </reference>
          <reference field="1" count="1" selected="0">
            <x v="45"/>
          </reference>
        </references>
      </pivotArea>
    </chartFormat>
    <chartFormat chart="30" format="451">
      <pivotArea type="data" outline="0" fieldPosition="0">
        <references count="2">
          <reference field="4294967294" count="1" selected="0">
            <x v="1"/>
          </reference>
          <reference field="1" count="1" selected="0">
            <x v="46"/>
          </reference>
        </references>
      </pivotArea>
    </chartFormat>
    <chartFormat chart="30" format="452">
      <pivotArea type="data" outline="0" fieldPosition="0">
        <references count="2">
          <reference field="4294967294" count="1" selected="0">
            <x v="1"/>
          </reference>
          <reference field="1" count="1" selected="0">
            <x v="47"/>
          </reference>
        </references>
      </pivotArea>
    </chartFormat>
    <chartFormat chart="30" format="453">
      <pivotArea type="data" outline="0" fieldPosition="0">
        <references count="2">
          <reference field="4294967294" count="1" selected="0">
            <x v="1"/>
          </reference>
          <reference field="1" count="1" selected="0">
            <x v="4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F0F28A-BCA7-4F3B-BABE-0DD4B02DE9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53" firstHeaderRow="0" firstDataRow="1" firstDataCol="1"/>
  <pivotFields count="13">
    <pivotField dataField="1" numFmtId="1" showAll="0"/>
    <pivotField axis="axisRow" showAll="0">
      <items count="50">
        <item sd="0" x="7"/>
        <item sd="0" x="19"/>
        <item sd="0" x="31"/>
        <item sd="0" x="20"/>
        <item sd="0" x="2"/>
        <item sd="0" x="47"/>
        <item sd="0" x="48"/>
        <item sd="0" x="10"/>
        <item sd="0" x="11"/>
        <item sd="0" x="28"/>
        <item sd="0" x="27"/>
        <item sd="0" x="14"/>
        <item sd="0" x="22"/>
        <item sd="0" x="36"/>
        <item sd="0" x="43"/>
        <item sd="0" x="8"/>
        <item sd="0" x="0"/>
        <item sd="0" x="9"/>
        <item sd="0" x="4"/>
        <item sd="0" x="35"/>
        <item sd="0" x="24"/>
        <item sd="0" x="37"/>
        <item sd="0" x="5"/>
        <item sd="0" x="18"/>
        <item sd="0" x="6"/>
        <item sd="0" x="16"/>
        <item sd="0" x="29"/>
        <item sd="0" x="23"/>
        <item sd="0" x="44"/>
        <item sd="0" x="38"/>
        <item sd="0" x="33"/>
        <item sd="0" x="26"/>
        <item sd="0" x="13"/>
        <item sd="0" x="30"/>
        <item sd="0" x="46"/>
        <item sd="0" x="21"/>
        <item sd="0" x="45"/>
        <item sd="0" x="34"/>
        <item sd="0" x="25"/>
        <item sd="0" x="39"/>
        <item sd="0" x="3"/>
        <item sd="0" x="32"/>
        <item sd="0" x="12"/>
        <item sd="0" x="1"/>
        <item sd="0" x="40"/>
        <item sd="0" x="41"/>
        <item sd="0" x="42"/>
        <item sd="0" x="17"/>
        <item sd="0" x="15"/>
        <item t="default" sd="0"/>
      </items>
    </pivotField>
    <pivotField showAll="0"/>
    <pivotField showAll="0"/>
    <pivotField numFmtId="1" showAll="0"/>
    <pivotField showAll="0"/>
    <pivotField showAll="0">
      <items count="46">
        <item x="21"/>
        <item x="24"/>
        <item x="33"/>
        <item x="30"/>
        <item x="27"/>
        <item x="20"/>
        <item x="43"/>
        <item x="0"/>
        <item x="13"/>
        <item x="2"/>
        <item x="34"/>
        <item x="26"/>
        <item x="11"/>
        <item x="4"/>
        <item x="10"/>
        <item x="19"/>
        <item x="25"/>
        <item x="36"/>
        <item x="1"/>
        <item x="5"/>
        <item x="15"/>
        <item x="28"/>
        <item x="3"/>
        <item x="7"/>
        <item x="23"/>
        <item x="37"/>
        <item x="18"/>
        <item x="40"/>
        <item x="42"/>
        <item x="31"/>
        <item x="9"/>
        <item x="32"/>
        <item x="29"/>
        <item x="41"/>
        <item x="14"/>
        <item x="22"/>
        <item x="8"/>
        <item x="6"/>
        <item x="16"/>
        <item x="39"/>
        <item x="17"/>
        <item x="38"/>
        <item x="35"/>
        <item x="12"/>
        <item x="44"/>
        <item t="default"/>
      </items>
    </pivotField>
    <pivotField showAll="0">
      <items count="4">
        <item x="0"/>
        <item x="2"/>
        <item x="1"/>
        <item t="default"/>
      </items>
    </pivotField>
    <pivotField numFmtId="1" showAll="0"/>
    <pivotField showAll="0"/>
    <pivotField showAll="0">
      <items count="35">
        <item x="32"/>
        <item x="6"/>
        <item x="4"/>
        <item x="0"/>
        <item x="16"/>
        <item x="27"/>
        <item x="26"/>
        <item x="24"/>
        <item x="28"/>
        <item x="30"/>
        <item x="9"/>
        <item x="23"/>
        <item x="29"/>
        <item x="12"/>
        <item x="5"/>
        <item x="21"/>
        <item x="15"/>
        <item x="33"/>
        <item x="2"/>
        <item x="19"/>
        <item x="20"/>
        <item x="8"/>
        <item x="18"/>
        <item x="31"/>
        <item x="22"/>
        <item x="10"/>
        <item x="14"/>
        <item x="7"/>
        <item x="17"/>
        <item x="25"/>
        <item x="13"/>
        <item x="1"/>
        <item x="3"/>
        <item x="11"/>
        <item t="default"/>
      </items>
    </pivotField>
    <pivotField dataField="1" showAll="0"/>
    <pivotField numFmtId="165" showAl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Ranks" fld="0" baseField="0" baseItem="0"/>
    <dataField name="Count of Approximate copies Sold" fld="11" subtotal="count" baseField="0" baseItem="0"/>
  </dataFields>
  <chartFormats count="6">
    <chartFormat chart="15" format="262" series="1">
      <pivotArea type="data" outline="0" fieldPosition="0">
        <references count="1">
          <reference field="4294967294" count="1" selected="0">
            <x v="0"/>
          </reference>
        </references>
      </pivotArea>
    </chartFormat>
    <chartFormat chart="15" format="302" series="1">
      <pivotArea type="data" outline="0" fieldPosition="0">
        <references count="1">
          <reference field="4294967294" count="1" selected="0">
            <x v="1"/>
          </reference>
        </references>
      </pivotArea>
    </chartFormat>
    <chartFormat chart="15" format="303">
      <pivotArea type="data" outline="0" fieldPosition="0">
        <references count="2">
          <reference field="4294967294" count="1" selected="0">
            <x v="1"/>
          </reference>
          <reference field="1" count="1" selected="0">
            <x v="38"/>
          </reference>
        </references>
      </pivotArea>
    </chartFormat>
    <chartFormat chart="17" format="306" series="1">
      <pivotArea type="data" outline="0" fieldPosition="0">
        <references count="1">
          <reference field="4294967294" count="1" selected="0">
            <x v="0"/>
          </reference>
        </references>
      </pivotArea>
    </chartFormat>
    <chartFormat chart="17" format="307" series="1">
      <pivotArea type="data" outline="0" fieldPosition="0">
        <references count="1">
          <reference field="4294967294" count="1" selected="0">
            <x v="1"/>
          </reference>
        </references>
      </pivotArea>
    </chartFormat>
    <chartFormat chart="17" format="308">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6A6FB-55D2-4481-AFFC-DFB2F78ECD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13">
    <pivotField numFmtId="1" showAll="0"/>
    <pivotField showAll="0"/>
    <pivotField showAll="0"/>
    <pivotField showAll="0"/>
    <pivotField numFmtId="1" showAll="0"/>
    <pivotField showAll="0"/>
    <pivotField showAll="0">
      <items count="46">
        <item x="21"/>
        <item x="24"/>
        <item x="33"/>
        <item x="30"/>
        <item x="27"/>
        <item x="20"/>
        <item x="43"/>
        <item x="0"/>
        <item x="13"/>
        <item x="2"/>
        <item x="34"/>
        <item x="26"/>
        <item x="11"/>
        <item x="4"/>
        <item x="10"/>
        <item x="19"/>
        <item x="25"/>
        <item x="36"/>
        <item x="1"/>
        <item x="5"/>
        <item x="15"/>
        <item x="28"/>
        <item x="3"/>
        <item x="7"/>
        <item x="23"/>
        <item x="37"/>
        <item x="18"/>
        <item x="40"/>
        <item x="42"/>
        <item x="31"/>
        <item x="9"/>
        <item x="32"/>
        <item x="29"/>
        <item x="41"/>
        <item x="14"/>
        <item x="22"/>
        <item x="8"/>
        <item x="6"/>
        <item x="16"/>
        <item x="39"/>
        <item x="17"/>
        <item x="38"/>
        <item x="35"/>
        <item x="12"/>
        <item x="44"/>
        <item t="default"/>
      </items>
    </pivotField>
    <pivotField axis="axisRow" showAll="0">
      <items count="4">
        <item x="0"/>
        <item x="2"/>
        <item x="1"/>
        <item t="default"/>
      </items>
    </pivotField>
    <pivotField dataField="1" numFmtId="1" showAll="0"/>
    <pivotField dataField="1" showAll="0"/>
    <pivotField showAll="0">
      <items count="35">
        <item x="32"/>
        <item x="6"/>
        <item x="4"/>
        <item x="0"/>
        <item x="16"/>
        <item x="27"/>
        <item x="26"/>
        <item x="24"/>
        <item x="28"/>
        <item x="30"/>
        <item x="9"/>
        <item x="23"/>
        <item x="29"/>
        <item x="12"/>
        <item x="5"/>
        <item x="21"/>
        <item x="15"/>
        <item x="33"/>
        <item x="2"/>
        <item x="19"/>
        <item x="20"/>
        <item x="8"/>
        <item x="18"/>
        <item x="31"/>
        <item x="22"/>
        <item x="10"/>
        <item x="14"/>
        <item x="7"/>
        <item x="17"/>
        <item x="25"/>
        <item x="13"/>
        <item x="1"/>
        <item x="3"/>
        <item x="11"/>
        <item t="default"/>
      </items>
    </pivotField>
    <pivotField showAll="0"/>
    <pivotField numFmtId="165" showAll="0"/>
  </pivotFields>
  <rowFields count="1">
    <field x="7"/>
  </rowFields>
  <rowItems count="4">
    <i>
      <x/>
    </i>
    <i>
      <x v="1"/>
    </i>
    <i>
      <x v="2"/>
    </i>
    <i t="grand">
      <x/>
    </i>
  </rowItems>
  <colFields count="1">
    <field x="-2"/>
  </colFields>
  <colItems count="2">
    <i>
      <x/>
    </i>
    <i i="1">
      <x v="1"/>
    </i>
  </colItems>
  <dataFields count="2">
    <dataField name="Sum of Animated Movies" fld="8" baseField="0" baseItem="0"/>
    <dataField name="Count of Movie Score " fld="9"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io" xr10:uid="{9A29B444-1FA3-4EE6-8EC9-16DEA8AFDCFC}" sourceName="Studio ">
  <pivotTables>
    <pivotTable tabId="2" name="PivotTable1"/>
    <pivotTable tabId="12" name="PivotTable15"/>
    <pivotTable tabId="14" name="PivotTable2"/>
    <pivotTable tabId="15" name="PivotTable4"/>
  </pivotTables>
  <data>
    <tabular pivotCacheId="1871958589">
      <items count="34">
        <i x="32" s="1"/>
        <i x="6" s="1"/>
        <i x="4" s="1"/>
        <i x="0" s="1"/>
        <i x="16" s="1"/>
        <i x="27" s="1"/>
        <i x="26" s="1"/>
        <i x="24" s="1"/>
        <i x="28" s="1"/>
        <i x="30" s="1"/>
        <i x="9" s="1"/>
        <i x="23" s="1"/>
        <i x="29" s="1"/>
        <i x="12" s="1"/>
        <i x="5" s="1"/>
        <i x="21" s="1"/>
        <i x="15" s="1"/>
        <i x="33" s="1"/>
        <i x="2" s="1"/>
        <i x="19" s="1"/>
        <i x="20" s="1"/>
        <i x="8" s="1"/>
        <i x="18" s="1"/>
        <i x="31" s="1"/>
        <i x="22" s="1"/>
        <i x="10" s="1"/>
        <i x="14" s="1"/>
        <i x="7" s="1"/>
        <i x="17" s="1"/>
        <i x="25" s="1"/>
        <i x="13" s="1"/>
        <i x="1" s="1"/>
        <i x="3"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4177668-9E77-48D5-9EAB-002056FD12F7}" sourceName="Status">
  <pivotTables>
    <pivotTable tabId="2" name="PivotTable1"/>
    <pivotTable tabId="12" name="PivotTable15"/>
    <pivotTable tabId="14" name="PivotTable2"/>
    <pivotTable tabId="15" name="PivotTable4"/>
  </pivotTables>
  <data>
    <tabular pivotCacheId="187195858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ed" xr10:uid="{2AA09933-0E2D-4958-B86F-4DF9B04AC96B}" sourceName="Aired">
  <pivotTables>
    <pivotTable tabId="2" name="PivotTable1"/>
    <pivotTable tabId="15" name="PivotTable4"/>
  </pivotTables>
  <data>
    <tabular pivotCacheId="1871958589">
      <items count="45">
        <i x="21" s="1"/>
        <i x="24" s="1"/>
        <i x="33" s="1"/>
        <i x="30" s="1"/>
        <i x="27" s="1"/>
        <i x="20" s="1"/>
        <i x="43" s="1"/>
        <i x="0" s="1"/>
        <i x="13" s="1"/>
        <i x="2" s="1"/>
        <i x="34" s="1"/>
        <i x="26" s="1"/>
        <i x="11" s="1"/>
        <i x="4" s="1"/>
        <i x="10" s="1"/>
        <i x="19" s="1"/>
        <i x="25" s="1"/>
        <i x="36" s="1"/>
        <i x="1" s="1"/>
        <i x="5" s="1"/>
        <i x="15" s="1"/>
        <i x="28" s="1"/>
        <i x="3" s="1"/>
        <i x="7" s="1"/>
        <i x="23" s="1"/>
        <i x="37" s="1"/>
        <i x="18" s="1"/>
        <i x="40" s="1"/>
        <i x="42" s="1"/>
        <i x="31" s="1"/>
        <i x="9" s="1"/>
        <i x="32" s="1"/>
        <i x="29" s="1"/>
        <i x="41" s="1"/>
        <i x="14" s="1"/>
        <i x="22" s="1"/>
        <i x="8" s="1"/>
        <i x="6" s="1"/>
        <i x="16" s="1"/>
        <i x="39" s="1"/>
        <i x="17" s="1"/>
        <i x="38" s="1"/>
        <i x="35" s="1"/>
        <i x="12"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io  1" xr10:uid="{7C851EEA-3D96-4D36-86BC-C87CDAE4C149}" cache="Slicer_Studio" caption="Studio " startItem="22" style="Slicer Style 1" rowHeight="241300"/>
  <slicer name="Status 1" xr10:uid="{FAB3C13A-3BCE-4239-ABB4-E5E8F64B64AC}" cache="Slicer_Status" caption="Status" style="Slicer Style 1" rowHeight="241300"/>
  <slicer name="Aired" xr10:uid="{5DCA89A3-41FC-4176-BA10-E26BDE18BF0E}" cache="Slicer_Aired" caption="Aired" startItem="39"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io " xr10:uid="{DAB591B8-F4B2-4E34-802D-E1B4EA4A3131}" cache="Slicer_Studio" caption="Studio " style="Slicer Style 1" rowHeight="241300"/>
  <slicer name="Status" xr10:uid="{8CF48496-2AE3-4B57-B1FD-A2156A55C660}" cache="Slicer_Status" caption="Status"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C0DD2-CAE8-4A93-8479-EE2B80DC80CF}" name="Table1" displayName="Table1" ref="A1:M50" totalsRowShown="0" headerRowDxfId="14" dataDxfId="13">
  <autoFilter ref="A1:M50" xr:uid="{4BEC0DD2-CAE8-4A93-8479-EE2B80DC80CF}"/>
  <tableColumns count="13">
    <tableColumn id="1" xr3:uid="{B64806EE-5AB3-4D50-889A-4CA7939F5CCA}" name="Ranks" dataDxfId="12"/>
    <tableColumn id="2" xr3:uid="{E723B83C-399B-4A2A-BA9A-9FAC170FBBC0}" name="Titles" dataDxfId="11"/>
    <tableColumn id="3" xr3:uid="{30337E16-EBFE-497B-A728-D8DECF6FEA57}" name="Genre" dataDxfId="10"/>
    <tableColumn id="4" xr3:uid="{3D1B4E39-3A73-42F9-B2FF-5766C2A75F90}" name="Total Seasons " dataDxfId="9"/>
    <tableColumn id="5" xr3:uid="{C7D88C47-4C82-4F62-9354-0B18A516B171}" name="Total Episodes " dataDxfId="8"/>
    <tableColumn id="9" xr3:uid="{833D5C3F-3993-4DB7-A7E2-81B151BDE29C}" name="Score" dataDxfId="7"/>
    <tableColumn id="8" xr3:uid="{7F22AB85-3B4F-4A1F-ACEC-629B80E5F10E}" name="Aired" dataDxfId="6"/>
    <tableColumn id="12" xr3:uid="{513B00FA-15AB-4331-B3F6-E2C647E79CE3}" name="Status" dataDxfId="5"/>
    <tableColumn id="6" xr3:uid="{121886D1-D2B6-4196-AD30-8AFEC1EF4323}" name="Animated Movies" dataDxfId="4"/>
    <tableColumn id="7" xr3:uid="{2E084DC0-948F-4A9F-BF3B-62777749E8F2}" name="Movie Score " dataDxfId="3"/>
    <tableColumn id="10" xr3:uid="{AF8FD4EC-BD4D-45DF-87ED-B528BD73C6FF}" name="Studio " dataDxfId="2"/>
    <tableColumn id="11" xr3:uid="{938724E3-1181-4E5E-9921-D5E83CDC1418}" name="Approximate copies Sold" dataDxfId="1"/>
    <tableColumn id="13" xr3:uid="{3D10240F-9610-4951-A2C0-A369B22E952A}" name="Members "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A6F0-D1D1-4837-934D-49CE1D791A0B}">
  <dimension ref="A1:W1"/>
  <sheetViews>
    <sheetView showGridLines="0" showRowColHeaders="0" showZeros="0" zoomScale="90" zoomScaleNormal="90" workbookViewId="0">
      <selection sqref="A1:W1"/>
    </sheetView>
  </sheetViews>
  <sheetFormatPr defaultRowHeight="15" x14ac:dyDescent="0.25"/>
  <sheetData>
    <row r="1" spans="1:23" ht="39.75" customHeight="1" x14ac:dyDescent="0.25">
      <c r="A1" s="26" t="s">
        <v>242</v>
      </c>
      <c r="B1" s="26"/>
      <c r="C1" s="26"/>
      <c r="D1" s="26"/>
      <c r="E1" s="26"/>
      <c r="F1" s="26"/>
      <c r="G1" s="26"/>
      <c r="H1" s="26"/>
      <c r="I1" s="26"/>
      <c r="J1" s="26"/>
      <c r="K1" s="26"/>
      <c r="L1" s="26"/>
      <c r="M1" s="26"/>
      <c r="N1" s="26"/>
      <c r="O1" s="26"/>
      <c r="P1" s="26"/>
      <c r="Q1" s="26"/>
      <c r="R1" s="26"/>
      <c r="S1" s="26"/>
      <c r="T1" s="26"/>
      <c r="U1" s="26"/>
      <c r="V1" s="26"/>
      <c r="W1" s="26"/>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CF13-DA3F-43AF-B741-C42B11631050}">
  <dimension ref="A1:Q51"/>
  <sheetViews>
    <sheetView tabSelected="1" topLeftCell="A19" zoomScale="78" zoomScaleNormal="70" workbookViewId="0"/>
  </sheetViews>
  <sheetFormatPr defaultRowHeight="15" x14ac:dyDescent="0.25"/>
  <cols>
    <col min="1" max="1" width="12.5703125" style="1" customWidth="1"/>
    <col min="2" max="2" width="52.140625" customWidth="1"/>
    <col min="3" max="3" width="61.42578125" customWidth="1"/>
    <col min="4" max="4" width="14.85546875" customWidth="1"/>
    <col min="5" max="5" width="15.5703125" style="1" customWidth="1"/>
    <col min="6" max="6" width="17.140625" customWidth="1"/>
    <col min="7" max="7" width="18" style="25" customWidth="1"/>
    <col min="8" max="8" width="18" customWidth="1"/>
    <col min="9" max="9" width="21.85546875" bestFit="1" customWidth="1"/>
    <col min="10" max="10" width="13.7109375" customWidth="1"/>
    <col min="11" max="11" width="28.85546875" bestFit="1" customWidth="1"/>
    <col min="12" max="12" width="22.85546875" style="20" bestFit="1" customWidth="1"/>
    <col min="13" max="13" width="16.7109375" style="21" bestFit="1" customWidth="1"/>
    <col min="14" max="14" width="8.42578125" customWidth="1"/>
    <col min="15" max="15" width="26.28515625" bestFit="1" customWidth="1"/>
    <col min="16" max="16" width="21.42578125" bestFit="1" customWidth="1"/>
    <col min="17" max="17" width="15.7109375" style="5" customWidth="1"/>
    <col min="18" max="18" width="12.42578125" customWidth="1"/>
    <col min="20" max="21" width="14.42578125" bestFit="1" customWidth="1"/>
  </cols>
  <sheetData>
    <row r="1" spans="1:17" x14ac:dyDescent="0.25">
      <c r="A1" s="4" t="s">
        <v>143</v>
      </c>
      <c r="B1" s="3" t="s">
        <v>0</v>
      </c>
      <c r="C1" s="3" t="s">
        <v>4</v>
      </c>
      <c r="D1" s="3" t="s">
        <v>2</v>
      </c>
      <c r="E1" s="4" t="s">
        <v>3</v>
      </c>
      <c r="F1" s="3" t="s">
        <v>6</v>
      </c>
      <c r="G1" s="24" t="s">
        <v>155</v>
      </c>
      <c r="H1" s="3" t="s">
        <v>156</v>
      </c>
      <c r="I1" s="4" t="s">
        <v>141</v>
      </c>
      <c r="J1" s="3" t="s">
        <v>145</v>
      </c>
      <c r="K1" s="3" t="s">
        <v>5</v>
      </c>
      <c r="L1" s="22" t="s">
        <v>146</v>
      </c>
      <c r="M1" s="17" t="s">
        <v>105</v>
      </c>
      <c r="Q1"/>
    </row>
    <row r="2" spans="1:17" x14ac:dyDescent="0.25">
      <c r="A2" s="7">
        <v>452</v>
      </c>
      <c r="B2" s="6" t="s">
        <v>10</v>
      </c>
      <c r="C2" s="6" t="s">
        <v>13</v>
      </c>
      <c r="D2" s="6">
        <v>2</v>
      </c>
      <c r="E2" s="7">
        <v>115</v>
      </c>
      <c r="F2" s="6">
        <v>8.1</v>
      </c>
      <c r="G2" s="23" t="s">
        <v>194</v>
      </c>
      <c r="H2" s="9" t="s">
        <v>157</v>
      </c>
      <c r="I2" s="7">
        <v>2</v>
      </c>
      <c r="J2" s="8">
        <f>AVERAGE(7.51,7.26)</f>
        <v>7.3849999999999998</v>
      </c>
      <c r="K2" s="6" t="s">
        <v>40</v>
      </c>
      <c r="L2" s="8" t="s">
        <v>39</v>
      </c>
      <c r="M2" s="18">
        <f>SUM(3221662+1438872)</f>
        <v>4660534</v>
      </c>
      <c r="Q2"/>
    </row>
    <row r="3" spans="1:17" x14ac:dyDescent="0.25">
      <c r="A3" s="7">
        <v>2</v>
      </c>
      <c r="B3" s="6" t="s">
        <v>12</v>
      </c>
      <c r="C3" s="6" t="s">
        <v>11</v>
      </c>
      <c r="D3" s="6">
        <v>2</v>
      </c>
      <c r="E3" s="7">
        <v>47</v>
      </c>
      <c r="F3" s="6">
        <v>9.07</v>
      </c>
      <c r="G3" s="23" t="s">
        <v>195</v>
      </c>
      <c r="H3" s="9" t="s">
        <v>157</v>
      </c>
      <c r="I3" s="7">
        <v>1</v>
      </c>
      <c r="J3" s="8">
        <v>8.4499999999999993</v>
      </c>
      <c r="K3" s="6" t="s">
        <v>82</v>
      </c>
      <c r="L3" s="8" t="s">
        <v>83</v>
      </c>
      <c r="M3" s="18">
        <f>SUM(2476113+842067)</f>
        <v>3318180</v>
      </c>
      <c r="Q3"/>
    </row>
    <row r="4" spans="1:17" x14ac:dyDescent="0.25">
      <c r="A4" s="7">
        <v>685</v>
      </c>
      <c r="B4" s="6" t="s">
        <v>14</v>
      </c>
      <c r="C4" s="6" t="s">
        <v>15</v>
      </c>
      <c r="D4" s="6">
        <v>17</v>
      </c>
      <c r="E4" s="7">
        <v>379</v>
      </c>
      <c r="F4" s="6">
        <v>7.9</v>
      </c>
      <c r="G4" s="23" t="s">
        <v>196</v>
      </c>
      <c r="H4" s="9" t="s">
        <v>158</v>
      </c>
      <c r="I4" s="7">
        <v>4</v>
      </c>
      <c r="J4" s="8">
        <f>AVERAGE(7.62,7.5,7.43,7.43)</f>
        <v>7.4950000000000001</v>
      </c>
      <c r="K4" s="6" t="s">
        <v>70</v>
      </c>
      <c r="L4" s="8" t="s">
        <v>84</v>
      </c>
      <c r="M4" s="18">
        <f>SUM(1890331+476383)</f>
        <v>2366714</v>
      </c>
      <c r="Q4"/>
    </row>
    <row r="5" spans="1:17" x14ac:dyDescent="0.25">
      <c r="A5" s="7">
        <v>58</v>
      </c>
      <c r="B5" s="6" t="s">
        <v>167</v>
      </c>
      <c r="C5" s="6" t="s">
        <v>16</v>
      </c>
      <c r="D5" s="6">
        <v>4</v>
      </c>
      <c r="E5" s="7">
        <v>88</v>
      </c>
      <c r="F5" s="6">
        <v>8.5</v>
      </c>
      <c r="G5" s="23" t="s">
        <v>197</v>
      </c>
      <c r="H5" s="9" t="s">
        <v>158</v>
      </c>
      <c r="I5" s="7">
        <v>2</v>
      </c>
      <c r="J5" s="8">
        <f>AVERAGE(7.86,7.75)</f>
        <v>7.8049999999999997</v>
      </c>
      <c r="K5" s="6" t="s">
        <v>49</v>
      </c>
      <c r="L5" s="8" t="s">
        <v>48</v>
      </c>
      <c r="M5" s="18">
        <f>SUM(3797888+253288+2149980+254895+2607619)</f>
        <v>9063670</v>
      </c>
      <c r="Q5"/>
    </row>
    <row r="6" spans="1:17" x14ac:dyDescent="0.25">
      <c r="A6" s="7">
        <v>29</v>
      </c>
      <c r="B6" s="6" t="s">
        <v>1</v>
      </c>
      <c r="C6" s="6" t="s">
        <v>21</v>
      </c>
      <c r="D6" s="6">
        <v>9</v>
      </c>
      <c r="E6" s="7">
        <v>367</v>
      </c>
      <c r="F6" s="6">
        <v>8.9</v>
      </c>
      <c r="G6" s="23" t="s">
        <v>198</v>
      </c>
      <c r="H6" s="9" t="s">
        <v>157</v>
      </c>
      <c r="I6" s="7">
        <v>2</v>
      </c>
      <c r="J6" s="8">
        <f>AVERAGE(8.91,8.52)</f>
        <v>8.7149999999999999</v>
      </c>
      <c r="K6" s="10" t="s">
        <v>85</v>
      </c>
      <c r="L6" s="8" t="s">
        <v>86</v>
      </c>
      <c r="M6" s="18">
        <f>SUM(534755+605693+194294+1035292+302569+313749+203780)</f>
        <v>3190132</v>
      </c>
      <c r="Q6"/>
    </row>
    <row r="7" spans="1:17" x14ac:dyDescent="0.25">
      <c r="A7" s="7">
        <v>8</v>
      </c>
      <c r="B7" s="6" t="s">
        <v>168</v>
      </c>
      <c r="C7" s="6" t="s">
        <v>17</v>
      </c>
      <c r="D7" s="6">
        <v>6</v>
      </c>
      <c r="E7" s="7">
        <v>148</v>
      </c>
      <c r="F7" s="6">
        <v>9.0399999999999991</v>
      </c>
      <c r="G7" s="23" t="s">
        <v>199</v>
      </c>
      <c r="H7" s="9" t="s">
        <v>158</v>
      </c>
      <c r="I7" s="7">
        <v>2</v>
      </c>
      <c r="J7" s="8">
        <f>AVERAGE(7.27,7.28)</f>
        <v>7.2750000000000004</v>
      </c>
      <c r="K7" s="6" t="s">
        <v>50</v>
      </c>
      <c r="L7" s="8" t="s">
        <v>35</v>
      </c>
      <c r="M7" s="18">
        <v>2704285</v>
      </c>
      <c r="Q7"/>
    </row>
    <row r="8" spans="1:17" x14ac:dyDescent="0.25">
      <c r="A8" s="7">
        <v>84</v>
      </c>
      <c r="B8" s="6" t="s">
        <v>174</v>
      </c>
      <c r="C8" s="6" t="s">
        <v>18</v>
      </c>
      <c r="D8" s="6">
        <v>3</v>
      </c>
      <c r="E8" s="7">
        <v>37</v>
      </c>
      <c r="F8" s="6">
        <v>8.4</v>
      </c>
      <c r="G8" s="23" t="s">
        <v>200</v>
      </c>
      <c r="H8" s="9" t="s">
        <v>158</v>
      </c>
      <c r="I8" s="7">
        <v>1</v>
      </c>
      <c r="J8" s="8">
        <v>8.83</v>
      </c>
      <c r="K8" s="6" t="s">
        <v>38</v>
      </c>
      <c r="L8" s="8" t="s">
        <v>87</v>
      </c>
      <c r="M8" s="18">
        <f>+SUM(1664000+1282687+853355)</f>
        <v>3800042</v>
      </c>
      <c r="Q8"/>
    </row>
    <row r="9" spans="1:17" x14ac:dyDescent="0.25">
      <c r="A9" s="7">
        <v>558</v>
      </c>
      <c r="B9" s="6" t="s">
        <v>164</v>
      </c>
      <c r="C9" s="6" t="s">
        <v>8</v>
      </c>
      <c r="D9" s="6">
        <v>1</v>
      </c>
      <c r="E9" s="7">
        <v>24</v>
      </c>
      <c r="F9" s="6">
        <v>8.3000000000000007</v>
      </c>
      <c r="G9" s="23" t="s">
        <v>201</v>
      </c>
      <c r="H9" s="11" t="s">
        <v>157</v>
      </c>
      <c r="I9" s="7">
        <v>0</v>
      </c>
      <c r="J9" s="8" t="s">
        <v>117</v>
      </c>
      <c r="K9" s="6" t="s">
        <v>70</v>
      </c>
      <c r="L9" s="8" t="s">
        <v>88</v>
      </c>
      <c r="M9" s="18">
        <v>827002</v>
      </c>
      <c r="Q9"/>
    </row>
    <row r="10" spans="1:17" x14ac:dyDescent="0.25">
      <c r="A10" s="7">
        <v>144</v>
      </c>
      <c r="B10" s="6" t="s">
        <v>173</v>
      </c>
      <c r="C10" s="6" t="s">
        <v>19</v>
      </c>
      <c r="D10" s="6">
        <v>3</v>
      </c>
      <c r="E10" s="7">
        <v>63</v>
      </c>
      <c r="F10" s="6">
        <v>8.99</v>
      </c>
      <c r="G10" s="23" t="s">
        <v>202</v>
      </c>
      <c r="H10" s="9" t="s">
        <v>157</v>
      </c>
      <c r="I10" s="7">
        <v>1</v>
      </c>
      <c r="J10" s="8">
        <v>8.43</v>
      </c>
      <c r="K10" s="10" t="s">
        <v>89</v>
      </c>
      <c r="L10" s="8" t="s">
        <v>90</v>
      </c>
      <c r="M10" s="18">
        <f>SUM(790865+482343+444888)</f>
        <v>1718096</v>
      </c>
      <c r="Q10"/>
    </row>
    <row r="11" spans="1:17" x14ac:dyDescent="0.25">
      <c r="A11" s="7">
        <v>101</v>
      </c>
      <c r="B11" s="6" t="s">
        <v>172</v>
      </c>
      <c r="C11" s="10" t="s">
        <v>9</v>
      </c>
      <c r="D11" s="6">
        <v>2</v>
      </c>
      <c r="E11" s="7">
        <v>44</v>
      </c>
      <c r="F11" s="6">
        <v>8.3800000000000008</v>
      </c>
      <c r="G11" s="23" t="s">
        <v>203</v>
      </c>
      <c r="H11" s="9" t="s">
        <v>159</v>
      </c>
      <c r="I11" s="7">
        <v>1</v>
      </c>
      <c r="J11" s="8">
        <v>8.43</v>
      </c>
      <c r="K11" s="6" t="s">
        <v>61</v>
      </c>
      <c r="L11" s="8" t="s">
        <v>142</v>
      </c>
      <c r="M11" s="18">
        <f>SUM(660442+388762)</f>
        <v>1049204</v>
      </c>
      <c r="Q11"/>
    </row>
    <row r="12" spans="1:17" x14ac:dyDescent="0.25">
      <c r="A12" s="7">
        <v>308</v>
      </c>
      <c r="B12" s="6" t="s">
        <v>171</v>
      </c>
      <c r="C12" s="6" t="s">
        <v>20</v>
      </c>
      <c r="D12" s="6">
        <v>2</v>
      </c>
      <c r="E12" s="7">
        <v>47</v>
      </c>
      <c r="F12" s="6">
        <v>8.93</v>
      </c>
      <c r="G12" s="23" t="s">
        <v>218</v>
      </c>
      <c r="H12" s="9" t="s">
        <v>157</v>
      </c>
      <c r="I12" s="7">
        <v>0</v>
      </c>
      <c r="J12" s="8" t="s">
        <v>117</v>
      </c>
      <c r="K12" s="10" t="s">
        <v>93</v>
      </c>
      <c r="L12" s="8" t="s">
        <v>92</v>
      </c>
      <c r="M12" s="18">
        <f>SUM(1161946+1384265)</f>
        <v>2546211</v>
      </c>
      <c r="Q12"/>
    </row>
    <row r="13" spans="1:17" x14ac:dyDescent="0.25">
      <c r="A13" s="7">
        <v>37</v>
      </c>
      <c r="B13" s="6" t="s">
        <v>170</v>
      </c>
      <c r="C13" s="6" t="s">
        <v>22</v>
      </c>
      <c r="D13" s="6">
        <v>2</v>
      </c>
      <c r="E13" s="7">
        <v>50</v>
      </c>
      <c r="F13" s="6">
        <v>8.6999999999999993</v>
      </c>
      <c r="G13" s="23" t="s">
        <v>219</v>
      </c>
      <c r="H13" s="9" t="s">
        <v>157</v>
      </c>
      <c r="I13" s="7">
        <v>5</v>
      </c>
      <c r="J13" s="8">
        <f>AVERAGE(7.35,7.13,7.28,7.46,7.22)</f>
        <v>7.2880000000000011</v>
      </c>
      <c r="K13" s="6" t="s">
        <v>94</v>
      </c>
      <c r="L13" s="8" t="s">
        <v>95</v>
      </c>
      <c r="M13" s="18">
        <f>SUM(1722420+2178981)</f>
        <v>3901401</v>
      </c>
      <c r="Q13"/>
    </row>
    <row r="14" spans="1:17" x14ac:dyDescent="0.25">
      <c r="A14" s="7">
        <v>169</v>
      </c>
      <c r="B14" s="6" t="s">
        <v>175</v>
      </c>
      <c r="C14" s="6" t="s">
        <v>23</v>
      </c>
      <c r="D14" s="6">
        <v>2</v>
      </c>
      <c r="E14" s="7">
        <v>23</v>
      </c>
      <c r="F14" s="6">
        <v>8.59</v>
      </c>
      <c r="G14" s="23" t="s">
        <v>205</v>
      </c>
      <c r="H14" s="9" t="s">
        <v>158</v>
      </c>
      <c r="I14" s="7">
        <v>0</v>
      </c>
      <c r="J14" s="8" t="s">
        <v>117</v>
      </c>
      <c r="K14" s="12" t="s">
        <v>97</v>
      </c>
      <c r="L14" s="8" t="s">
        <v>96</v>
      </c>
      <c r="M14" s="18">
        <f>SUM(809531+59443)</f>
        <v>868974</v>
      </c>
      <c r="Q14"/>
    </row>
    <row r="15" spans="1:17" x14ac:dyDescent="0.25">
      <c r="A15" s="7">
        <v>25</v>
      </c>
      <c r="B15" s="6" t="s">
        <v>176</v>
      </c>
      <c r="C15" s="6" t="s">
        <v>24</v>
      </c>
      <c r="D15" s="6">
        <v>1</v>
      </c>
      <c r="E15" s="7">
        <v>74</v>
      </c>
      <c r="F15" s="6">
        <v>8.8699999999999992</v>
      </c>
      <c r="G15" s="23" t="s">
        <v>220</v>
      </c>
      <c r="H15" s="9" t="s">
        <v>157</v>
      </c>
      <c r="I15" s="7">
        <v>0</v>
      </c>
      <c r="J15" s="8" t="s">
        <v>117</v>
      </c>
      <c r="K15" s="6" t="s">
        <v>98</v>
      </c>
      <c r="L15" s="8" t="s">
        <v>99</v>
      </c>
      <c r="M15" s="18">
        <v>1043697</v>
      </c>
      <c r="Q15"/>
    </row>
    <row r="16" spans="1:17" x14ac:dyDescent="0.25">
      <c r="A16" s="7">
        <v>142</v>
      </c>
      <c r="B16" s="6" t="s">
        <v>193</v>
      </c>
      <c r="C16" s="6" t="s">
        <v>25</v>
      </c>
      <c r="D16" s="6">
        <v>4</v>
      </c>
      <c r="E16" s="7">
        <v>55</v>
      </c>
      <c r="F16" s="6">
        <v>8.5</v>
      </c>
      <c r="G16" s="23" t="s">
        <v>200</v>
      </c>
      <c r="H16" s="9" t="s">
        <v>158</v>
      </c>
      <c r="I16" s="7">
        <v>2</v>
      </c>
      <c r="J16" s="8">
        <f>AVERAGE(7.66,8.61)</f>
        <v>8.1349999999999998</v>
      </c>
      <c r="K16" s="10" t="s">
        <v>100</v>
      </c>
      <c r="L16" s="8" t="s">
        <v>101</v>
      </c>
      <c r="M16" s="18">
        <f>SUM(2875300+676553+1305622+671979)</f>
        <v>5529454</v>
      </c>
      <c r="Q16"/>
    </row>
    <row r="17" spans="1:17" x14ac:dyDescent="0.25">
      <c r="A17" s="7">
        <v>682</v>
      </c>
      <c r="B17" s="6" t="s">
        <v>165</v>
      </c>
      <c r="C17" s="6" t="s">
        <v>26</v>
      </c>
      <c r="D17" s="6">
        <v>1</v>
      </c>
      <c r="E17" s="7">
        <v>14</v>
      </c>
      <c r="F17" s="6">
        <v>7.94</v>
      </c>
      <c r="G17" s="23" t="s">
        <v>221</v>
      </c>
      <c r="H17" s="9" t="s">
        <v>158</v>
      </c>
      <c r="I17" s="7">
        <v>0</v>
      </c>
      <c r="J17" s="8" t="s">
        <v>117</v>
      </c>
      <c r="K17" s="6" t="s">
        <v>38</v>
      </c>
      <c r="L17" s="8" t="s">
        <v>91</v>
      </c>
      <c r="M17" s="18">
        <f>SUM(944955+198130)</f>
        <v>1143085</v>
      </c>
      <c r="Q17"/>
    </row>
    <row r="18" spans="1:17" x14ac:dyDescent="0.25">
      <c r="A18" s="7">
        <v>399</v>
      </c>
      <c r="B18" s="6" t="s">
        <v>166</v>
      </c>
      <c r="C18" s="6" t="s">
        <v>27</v>
      </c>
      <c r="D18" s="6">
        <v>2</v>
      </c>
      <c r="E18" s="7">
        <v>25</v>
      </c>
      <c r="F18" s="6">
        <v>8.1</v>
      </c>
      <c r="G18" s="23" t="s">
        <v>222</v>
      </c>
      <c r="H18" s="9" t="s">
        <v>157</v>
      </c>
      <c r="I18" s="7">
        <v>0</v>
      </c>
      <c r="J18" s="8" t="s">
        <v>117</v>
      </c>
      <c r="K18" s="10" t="s">
        <v>102</v>
      </c>
      <c r="L18" s="8" t="s">
        <v>142</v>
      </c>
      <c r="M18" s="18">
        <f>SUM(392013+632642)</f>
        <v>1024655</v>
      </c>
      <c r="Q18"/>
    </row>
    <row r="19" spans="1:17" x14ac:dyDescent="0.25">
      <c r="A19" s="7">
        <v>38</v>
      </c>
      <c r="B19" s="6" t="s">
        <v>192</v>
      </c>
      <c r="C19" s="6" t="s">
        <v>28</v>
      </c>
      <c r="D19" s="6">
        <v>2</v>
      </c>
      <c r="E19" s="7">
        <v>48</v>
      </c>
      <c r="F19" s="6">
        <v>8.7799999999999994</v>
      </c>
      <c r="G19" s="23" t="s">
        <v>215</v>
      </c>
      <c r="H19" s="9" t="s">
        <v>159</v>
      </c>
      <c r="I19" s="7">
        <v>0</v>
      </c>
      <c r="J19" s="8" t="s">
        <v>117</v>
      </c>
      <c r="K19" s="10" t="s">
        <v>49</v>
      </c>
      <c r="L19" s="8" t="s">
        <v>162</v>
      </c>
      <c r="M19" s="18">
        <f>SUM(1407238+498979)</f>
        <v>1906217</v>
      </c>
      <c r="Q19"/>
    </row>
    <row r="20" spans="1:17" x14ac:dyDescent="0.25">
      <c r="A20" s="7">
        <v>51</v>
      </c>
      <c r="B20" s="6" t="s">
        <v>191</v>
      </c>
      <c r="C20" s="6" t="s">
        <v>29</v>
      </c>
      <c r="D20" s="6">
        <v>2</v>
      </c>
      <c r="E20" s="7">
        <v>47</v>
      </c>
      <c r="F20" s="6">
        <v>8.7249999999999996</v>
      </c>
      <c r="G20" s="23" t="s">
        <v>223</v>
      </c>
      <c r="H20" s="9" t="s">
        <v>158</v>
      </c>
      <c r="I20" s="7">
        <v>1</v>
      </c>
      <c r="J20" s="8">
        <v>8.4700000000000006</v>
      </c>
      <c r="K20" s="10" t="s">
        <v>103</v>
      </c>
      <c r="L20" s="8" t="s">
        <v>39</v>
      </c>
      <c r="M20" s="18">
        <f>SUM(2331725+567843)</f>
        <v>2899568</v>
      </c>
      <c r="Q20"/>
    </row>
    <row r="21" spans="1:17" x14ac:dyDescent="0.25">
      <c r="A21" s="7">
        <v>307</v>
      </c>
      <c r="B21" s="6" t="s">
        <v>30</v>
      </c>
      <c r="C21" s="10" t="s">
        <v>31</v>
      </c>
      <c r="D21" s="6">
        <v>2</v>
      </c>
      <c r="E21" s="7">
        <v>48</v>
      </c>
      <c r="F21" s="6">
        <v>8.2899999999999991</v>
      </c>
      <c r="G21" s="23" t="s">
        <v>224</v>
      </c>
      <c r="H21" s="9" t="s">
        <v>157</v>
      </c>
      <c r="I21" s="7">
        <v>1</v>
      </c>
      <c r="J21" s="8">
        <v>7.34</v>
      </c>
      <c r="K21" s="6" t="s">
        <v>32</v>
      </c>
      <c r="L21" s="8" t="s">
        <v>37</v>
      </c>
      <c r="M21" s="18">
        <f>SUM(1944467+1381707)</f>
        <v>3326174</v>
      </c>
      <c r="Q21"/>
    </row>
    <row r="22" spans="1:17" x14ac:dyDescent="0.25">
      <c r="A22" s="7">
        <v>2358</v>
      </c>
      <c r="B22" s="6" t="s">
        <v>33</v>
      </c>
      <c r="C22" s="6" t="s">
        <v>34</v>
      </c>
      <c r="D22" s="6">
        <v>3</v>
      </c>
      <c r="E22" s="7">
        <v>46</v>
      </c>
      <c r="F22" s="6">
        <v>7.7</v>
      </c>
      <c r="G22" s="23" t="s">
        <v>225</v>
      </c>
      <c r="H22" s="9" t="s">
        <v>158</v>
      </c>
      <c r="I22" s="7">
        <v>1</v>
      </c>
      <c r="J22" s="8">
        <v>8.25</v>
      </c>
      <c r="K22" s="10" t="s">
        <v>38</v>
      </c>
      <c r="L22" s="8" t="s">
        <v>36</v>
      </c>
      <c r="M22" s="18">
        <f>SUM(1150191+553795+392766)</f>
        <v>2096752</v>
      </c>
      <c r="Q22"/>
    </row>
    <row r="23" spans="1:17" x14ac:dyDescent="0.25">
      <c r="A23" s="7">
        <v>55</v>
      </c>
      <c r="B23" s="6" t="s">
        <v>41</v>
      </c>
      <c r="C23" s="10" t="s">
        <v>43</v>
      </c>
      <c r="D23" s="6">
        <v>20</v>
      </c>
      <c r="E23" s="7">
        <v>1071</v>
      </c>
      <c r="F23" s="6">
        <v>8.6999999999999993</v>
      </c>
      <c r="G23" s="23" t="s">
        <v>226</v>
      </c>
      <c r="H23" s="9" t="s">
        <v>158</v>
      </c>
      <c r="I23" s="7">
        <v>15</v>
      </c>
      <c r="J23" s="8">
        <v>8.6</v>
      </c>
      <c r="K23" s="10" t="s">
        <v>42</v>
      </c>
      <c r="L23" s="8" t="s">
        <v>44</v>
      </c>
      <c r="M23" s="19">
        <v>2226178</v>
      </c>
      <c r="Q23"/>
    </row>
    <row r="24" spans="1:17" x14ac:dyDescent="0.25">
      <c r="A24" s="7">
        <v>910</v>
      </c>
      <c r="B24" s="6" t="s">
        <v>190</v>
      </c>
      <c r="C24" s="10" t="s">
        <v>45</v>
      </c>
      <c r="D24" s="6">
        <v>17</v>
      </c>
      <c r="E24" s="7">
        <v>1787</v>
      </c>
      <c r="F24" s="6">
        <v>7.81</v>
      </c>
      <c r="G24" s="23" t="s">
        <v>227</v>
      </c>
      <c r="H24" s="9" t="s">
        <v>157</v>
      </c>
      <c r="I24" s="7">
        <v>42</v>
      </c>
      <c r="J24" s="8">
        <v>7.54</v>
      </c>
      <c r="K24" s="6" t="s">
        <v>46</v>
      </c>
      <c r="L24" s="8" t="s">
        <v>47</v>
      </c>
      <c r="M24" s="18">
        <v>60870</v>
      </c>
      <c r="Q24"/>
    </row>
    <row r="25" spans="1:17" x14ac:dyDescent="0.25">
      <c r="A25" s="7">
        <v>427</v>
      </c>
      <c r="B25" s="6" t="s">
        <v>51</v>
      </c>
      <c r="C25" s="10" t="s">
        <v>52</v>
      </c>
      <c r="D25" s="6">
        <v>2</v>
      </c>
      <c r="E25" s="7">
        <v>26</v>
      </c>
      <c r="F25" s="6">
        <v>8.1750000000000007</v>
      </c>
      <c r="G25" s="23" t="s">
        <v>228</v>
      </c>
      <c r="H25" s="9" t="s">
        <v>159</v>
      </c>
      <c r="I25" s="7">
        <v>0</v>
      </c>
      <c r="J25" s="8" t="s">
        <v>117</v>
      </c>
      <c r="K25" s="6" t="s">
        <v>53</v>
      </c>
      <c r="L25" s="8" t="s">
        <v>54</v>
      </c>
      <c r="M25" s="18">
        <f>SUM(290752+168350)</f>
        <v>459102</v>
      </c>
      <c r="Q25"/>
    </row>
    <row r="26" spans="1:17" x14ac:dyDescent="0.25">
      <c r="A26" s="7">
        <v>153</v>
      </c>
      <c r="B26" s="6" t="s">
        <v>177</v>
      </c>
      <c r="C26" s="10" t="s">
        <v>52</v>
      </c>
      <c r="D26" s="6">
        <v>4</v>
      </c>
      <c r="E26" s="7">
        <v>100</v>
      </c>
      <c r="F26" s="6">
        <v>8.36</v>
      </c>
      <c r="G26" s="23" t="s">
        <v>229</v>
      </c>
      <c r="H26" s="9" t="s">
        <v>158</v>
      </c>
      <c r="I26" s="7">
        <v>4</v>
      </c>
      <c r="J26" s="8">
        <v>8.1</v>
      </c>
      <c r="K26" s="10" t="s">
        <v>56</v>
      </c>
      <c r="L26" s="8" t="s">
        <v>55</v>
      </c>
      <c r="M26" s="18">
        <f>SUM(1898359+773214+1380027+1158806)</f>
        <v>5210406</v>
      </c>
      <c r="Q26"/>
    </row>
    <row r="27" spans="1:17" x14ac:dyDescent="0.25">
      <c r="A27" s="7">
        <v>1070</v>
      </c>
      <c r="B27" s="6" t="s">
        <v>57</v>
      </c>
      <c r="C27" s="10" t="s">
        <v>59</v>
      </c>
      <c r="D27" s="6">
        <v>4</v>
      </c>
      <c r="E27" s="7">
        <v>200</v>
      </c>
      <c r="F27" s="6">
        <v>7.73</v>
      </c>
      <c r="G27" s="23" t="s">
        <v>230</v>
      </c>
      <c r="H27" s="9" t="s">
        <v>157</v>
      </c>
      <c r="I27" s="7">
        <v>3</v>
      </c>
      <c r="J27" s="8">
        <f>AVERAGE(7.72,7.55,7.74)</f>
        <v>7.669999999999999</v>
      </c>
      <c r="K27" s="10" t="s">
        <v>42</v>
      </c>
      <c r="L27" s="8" t="s">
        <v>58</v>
      </c>
      <c r="M27" s="18">
        <f>SUM(371143+116077+154418+143218)</f>
        <v>784856</v>
      </c>
      <c r="Q27"/>
    </row>
    <row r="28" spans="1:17" x14ac:dyDescent="0.25">
      <c r="A28" s="7">
        <v>1498</v>
      </c>
      <c r="B28" s="6" t="s">
        <v>178</v>
      </c>
      <c r="C28" s="10" t="s">
        <v>60</v>
      </c>
      <c r="D28" s="6">
        <v>6</v>
      </c>
      <c r="E28" s="7">
        <v>42</v>
      </c>
      <c r="F28" s="6">
        <v>8.33</v>
      </c>
      <c r="G28" s="23" t="s">
        <v>231</v>
      </c>
      <c r="H28" s="9" t="s">
        <v>157</v>
      </c>
      <c r="I28" s="7">
        <v>3</v>
      </c>
      <c r="J28" s="8">
        <f>AVERAGE(8.37,8.79,8.57)</f>
        <v>8.5766666666666662</v>
      </c>
      <c r="K28" s="10" t="s">
        <v>61</v>
      </c>
      <c r="L28" s="8" t="s">
        <v>62</v>
      </c>
      <c r="M28" s="18">
        <f>SUM(653769+655083+541731+28340+385756)</f>
        <v>2264679</v>
      </c>
      <c r="Q28"/>
    </row>
    <row r="29" spans="1:17" x14ac:dyDescent="0.25">
      <c r="A29" s="7">
        <v>75</v>
      </c>
      <c r="B29" s="6" t="s">
        <v>63</v>
      </c>
      <c r="C29" s="2" t="s">
        <v>64</v>
      </c>
      <c r="D29" s="6">
        <v>1</v>
      </c>
      <c r="E29" s="7">
        <v>37</v>
      </c>
      <c r="F29" s="6">
        <v>8.6199999999999992</v>
      </c>
      <c r="G29" s="23" t="s">
        <v>232</v>
      </c>
      <c r="H29" s="9" t="s">
        <v>157</v>
      </c>
      <c r="I29" s="7">
        <v>0</v>
      </c>
      <c r="J29" s="8" t="s">
        <v>117</v>
      </c>
      <c r="K29" s="10" t="s">
        <v>65</v>
      </c>
      <c r="L29" s="8" t="s">
        <v>66</v>
      </c>
      <c r="M29" s="18">
        <v>3766726</v>
      </c>
      <c r="Q29"/>
    </row>
    <row r="30" spans="1:17" x14ac:dyDescent="0.25">
      <c r="A30" s="7">
        <v>44</v>
      </c>
      <c r="B30" s="6" t="s">
        <v>179</v>
      </c>
      <c r="C30" s="10" t="s">
        <v>160</v>
      </c>
      <c r="D30" s="6">
        <v>1</v>
      </c>
      <c r="E30" s="7">
        <v>26</v>
      </c>
      <c r="F30" s="6">
        <v>8.75</v>
      </c>
      <c r="G30" s="23" t="s">
        <v>233</v>
      </c>
      <c r="H30" s="9" t="s">
        <v>157</v>
      </c>
      <c r="I30" s="7">
        <v>1</v>
      </c>
      <c r="J30" s="8">
        <v>8.3800000000000008</v>
      </c>
      <c r="K30" s="13" t="s">
        <v>67</v>
      </c>
      <c r="L30" s="8" t="s">
        <v>68</v>
      </c>
      <c r="M30" s="18">
        <v>1798685</v>
      </c>
      <c r="Q30"/>
    </row>
    <row r="31" spans="1:17" x14ac:dyDescent="0.25">
      <c r="A31" s="7">
        <v>253</v>
      </c>
      <c r="B31" s="6" t="s">
        <v>180</v>
      </c>
      <c r="C31" s="10" t="s">
        <v>69</v>
      </c>
      <c r="D31" s="6">
        <v>4</v>
      </c>
      <c r="E31" s="7">
        <v>129</v>
      </c>
      <c r="F31" s="6">
        <v>9</v>
      </c>
      <c r="G31" s="23" t="s">
        <v>234</v>
      </c>
      <c r="H31" s="9" t="s">
        <v>158</v>
      </c>
      <c r="I31" s="7">
        <v>0</v>
      </c>
      <c r="J31" s="8" t="s">
        <v>117</v>
      </c>
      <c r="K31" s="10" t="s">
        <v>70</v>
      </c>
      <c r="L31" s="8" t="s">
        <v>71</v>
      </c>
      <c r="M31" s="18">
        <f>SUM(119802+207576+93891+56076)</f>
        <v>477345</v>
      </c>
      <c r="Q31"/>
    </row>
    <row r="32" spans="1:17" x14ac:dyDescent="0.25">
      <c r="A32" s="7">
        <v>826</v>
      </c>
      <c r="B32" s="6" t="s">
        <v>181</v>
      </c>
      <c r="C32" s="10" t="s">
        <v>72</v>
      </c>
      <c r="D32" s="6">
        <v>6</v>
      </c>
      <c r="E32" s="7">
        <v>146</v>
      </c>
      <c r="F32" s="6">
        <v>8.34</v>
      </c>
      <c r="G32" s="23" t="s">
        <v>235</v>
      </c>
      <c r="H32" s="9" t="s">
        <v>158</v>
      </c>
      <c r="I32" s="7">
        <v>3</v>
      </c>
      <c r="J32" s="8">
        <f>AVERAGE(7.55,7.97,7.58)</f>
        <v>7.7</v>
      </c>
      <c r="K32" s="10" t="s">
        <v>40</v>
      </c>
      <c r="L32" s="8" t="s">
        <v>73</v>
      </c>
      <c r="M32" s="18">
        <f>SUM(2922400+1121987+2114744+2442423+1660107+573606)</f>
        <v>10835267</v>
      </c>
      <c r="Q32"/>
    </row>
    <row r="33" spans="1:17" x14ac:dyDescent="0.25">
      <c r="A33" s="7">
        <v>3698</v>
      </c>
      <c r="B33" s="6" t="s">
        <v>182</v>
      </c>
      <c r="C33" s="10" t="s">
        <v>74</v>
      </c>
      <c r="D33" s="6">
        <v>4</v>
      </c>
      <c r="E33" s="7">
        <v>37</v>
      </c>
      <c r="F33" s="6">
        <v>7.6559999999999997</v>
      </c>
      <c r="G33" s="23" t="s">
        <v>236</v>
      </c>
      <c r="H33" s="9" t="s">
        <v>159</v>
      </c>
      <c r="I33" s="7">
        <v>3</v>
      </c>
      <c r="J33" s="8">
        <f>AVERAGE(7.7,7.87,8.2)</f>
        <v>7.9233333333333329</v>
      </c>
      <c r="K33" s="10" t="s">
        <v>75</v>
      </c>
      <c r="L33" s="8" t="s">
        <v>55</v>
      </c>
      <c r="M33" s="18">
        <f>SUM(622806+178095+349534+34948)</f>
        <v>1185383</v>
      </c>
      <c r="Q33"/>
    </row>
    <row r="34" spans="1:17" x14ac:dyDescent="0.25">
      <c r="A34" s="7">
        <v>72</v>
      </c>
      <c r="B34" s="6" t="s">
        <v>183</v>
      </c>
      <c r="C34" s="10" t="s">
        <v>79</v>
      </c>
      <c r="D34" s="6">
        <v>2</v>
      </c>
      <c r="E34" s="7">
        <v>25</v>
      </c>
      <c r="F34" s="6">
        <v>8.6</v>
      </c>
      <c r="G34" s="23" t="s">
        <v>237</v>
      </c>
      <c r="H34" s="9" t="s">
        <v>157</v>
      </c>
      <c r="I34" s="7">
        <v>0</v>
      </c>
      <c r="J34" s="8" t="s">
        <v>117</v>
      </c>
      <c r="K34" s="10" t="s">
        <v>80</v>
      </c>
      <c r="L34" s="8" t="s">
        <v>142</v>
      </c>
      <c r="M34" s="18">
        <f>SUM(238351+182599)</f>
        <v>420950</v>
      </c>
      <c r="Q34"/>
    </row>
    <row r="35" spans="1:17" x14ac:dyDescent="0.25">
      <c r="A35" s="7">
        <v>71</v>
      </c>
      <c r="B35" s="6" t="s">
        <v>76</v>
      </c>
      <c r="C35" s="10" t="s">
        <v>77</v>
      </c>
      <c r="D35" s="6">
        <v>3</v>
      </c>
      <c r="E35" s="7">
        <v>27</v>
      </c>
      <c r="F35" s="6">
        <v>8.49</v>
      </c>
      <c r="G35" s="23" t="s">
        <v>238</v>
      </c>
      <c r="H35" s="9" t="s">
        <v>157</v>
      </c>
      <c r="I35" s="7">
        <v>1</v>
      </c>
      <c r="J35" s="8">
        <v>7.7</v>
      </c>
      <c r="K35" s="10" t="s">
        <v>40</v>
      </c>
      <c r="L35" s="8" t="s">
        <v>78</v>
      </c>
      <c r="M35" s="18">
        <f>SUM(1460489+1989975+602766)</f>
        <v>4053230</v>
      </c>
      <c r="Q35"/>
    </row>
    <row r="36" spans="1:17" x14ac:dyDescent="0.25">
      <c r="A36" s="7">
        <v>258</v>
      </c>
      <c r="B36" s="6" t="s">
        <v>189</v>
      </c>
      <c r="C36" s="6" t="s">
        <v>7</v>
      </c>
      <c r="D36" s="6">
        <v>13</v>
      </c>
      <c r="E36" s="7">
        <v>94</v>
      </c>
      <c r="F36" s="6">
        <v>7.76</v>
      </c>
      <c r="G36" s="23" t="s">
        <v>217</v>
      </c>
      <c r="H36" s="9" t="s">
        <v>158</v>
      </c>
      <c r="I36" s="7">
        <v>5</v>
      </c>
      <c r="J36" s="8">
        <v>7.55</v>
      </c>
      <c r="K36" s="10" t="s">
        <v>75</v>
      </c>
      <c r="L36" s="8" t="s">
        <v>81</v>
      </c>
      <c r="M36" s="18">
        <v>484059</v>
      </c>
      <c r="Q36"/>
    </row>
    <row r="37" spans="1:17" x14ac:dyDescent="0.25">
      <c r="A37" s="7">
        <v>431</v>
      </c>
      <c r="B37" s="6" t="s">
        <v>188</v>
      </c>
      <c r="C37" s="10" t="s">
        <v>104</v>
      </c>
      <c r="D37" s="6">
        <v>1</v>
      </c>
      <c r="E37" s="7">
        <v>51</v>
      </c>
      <c r="F37" s="6">
        <v>8.0500000000000007</v>
      </c>
      <c r="G37" s="23" t="s">
        <v>216</v>
      </c>
      <c r="H37" s="9" t="s">
        <v>157</v>
      </c>
      <c r="I37" s="7">
        <v>0</v>
      </c>
      <c r="J37" s="8" t="s">
        <v>117</v>
      </c>
      <c r="K37" s="10" t="s">
        <v>106</v>
      </c>
      <c r="L37" s="8" t="s">
        <v>144</v>
      </c>
      <c r="M37" s="18">
        <v>38648</v>
      </c>
      <c r="Q37"/>
    </row>
    <row r="38" spans="1:17" x14ac:dyDescent="0.25">
      <c r="A38" s="7">
        <v>1145</v>
      </c>
      <c r="B38" s="6" t="s">
        <v>187</v>
      </c>
      <c r="C38" s="10" t="s">
        <v>107</v>
      </c>
      <c r="D38" s="6">
        <v>2</v>
      </c>
      <c r="E38" s="7">
        <v>48</v>
      </c>
      <c r="F38" s="6">
        <v>7.76</v>
      </c>
      <c r="G38" s="23" t="s">
        <v>215</v>
      </c>
      <c r="H38" s="9" t="s">
        <v>158</v>
      </c>
      <c r="I38" s="7">
        <v>0</v>
      </c>
      <c r="J38" s="8" t="s">
        <v>117</v>
      </c>
      <c r="K38" s="10" t="s">
        <v>108</v>
      </c>
      <c r="L38" s="8" t="s">
        <v>109</v>
      </c>
      <c r="M38" s="18">
        <f>SUM(1276957+731277)</f>
        <v>2008234</v>
      </c>
      <c r="Q38"/>
    </row>
    <row r="39" spans="1:17" x14ac:dyDescent="0.25">
      <c r="A39" s="7">
        <v>351</v>
      </c>
      <c r="B39" s="6" t="s">
        <v>186</v>
      </c>
      <c r="C39" s="10" t="s">
        <v>26</v>
      </c>
      <c r="D39" s="6">
        <v>2</v>
      </c>
      <c r="E39" s="7">
        <v>26</v>
      </c>
      <c r="F39" s="6">
        <v>8.1950000000000003</v>
      </c>
      <c r="G39" s="23" t="s">
        <v>210</v>
      </c>
      <c r="H39" s="9" t="s">
        <v>158</v>
      </c>
      <c r="I39" s="7">
        <v>0</v>
      </c>
      <c r="J39" s="6" t="s">
        <v>117</v>
      </c>
      <c r="K39" s="10" t="s">
        <v>118</v>
      </c>
      <c r="L39" s="8" t="s">
        <v>119</v>
      </c>
      <c r="M39" s="18">
        <f>SUM(1289854+224209)</f>
        <v>1514063</v>
      </c>
      <c r="Q39"/>
    </row>
    <row r="40" spans="1:17" x14ac:dyDescent="0.25">
      <c r="A40" s="7">
        <v>586</v>
      </c>
      <c r="B40" s="6" t="s">
        <v>110</v>
      </c>
      <c r="C40" s="10" t="s">
        <v>120</v>
      </c>
      <c r="D40" s="6">
        <v>1</v>
      </c>
      <c r="E40" s="7">
        <v>26</v>
      </c>
      <c r="F40" s="6">
        <v>8.1</v>
      </c>
      <c r="G40" s="23" t="s">
        <v>214</v>
      </c>
      <c r="H40" s="9" t="s">
        <v>157</v>
      </c>
      <c r="I40" s="7">
        <v>0</v>
      </c>
      <c r="J40" s="6" t="s">
        <v>117</v>
      </c>
      <c r="K40" s="10" t="s">
        <v>121</v>
      </c>
      <c r="L40" s="8" t="s">
        <v>142</v>
      </c>
      <c r="M40" s="18">
        <v>1215940</v>
      </c>
      <c r="Q40"/>
    </row>
    <row r="41" spans="1:17" x14ac:dyDescent="0.25">
      <c r="A41" s="7">
        <v>1578</v>
      </c>
      <c r="B41" s="6" t="s">
        <v>184</v>
      </c>
      <c r="C41" s="10" t="s">
        <v>122</v>
      </c>
      <c r="D41" s="6">
        <v>2</v>
      </c>
      <c r="E41" s="7">
        <v>24</v>
      </c>
      <c r="F41" s="6">
        <v>7.62</v>
      </c>
      <c r="G41" s="23" t="s">
        <v>213</v>
      </c>
      <c r="H41" s="9" t="s">
        <v>159</v>
      </c>
      <c r="I41" s="7">
        <v>0</v>
      </c>
      <c r="J41" s="6" t="s">
        <v>117</v>
      </c>
      <c r="K41" s="10" t="s">
        <v>49</v>
      </c>
      <c r="L41" s="8" t="s">
        <v>163</v>
      </c>
      <c r="M41" s="18">
        <f>SUM(1294214+766987)</f>
        <v>2061201</v>
      </c>
      <c r="Q41"/>
    </row>
    <row r="42" spans="1:17" x14ac:dyDescent="0.25">
      <c r="A42" s="7">
        <v>529</v>
      </c>
      <c r="B42" s="6" t="s">
        <v>185</v>
      </c>
      <c r="C42" s="10" t="s">
        <v>123</v>
      </c>
      <c r="D42" s="6">
        <v>2</v>
      </c>
      <c r="E42" s="7">
        <v>24</v>
      </c>
      <c r="F42" s="6">
        <v>8.1999999999999993</v>
      </c>
      <c r="G42" s="23" t="s">
        <v>212</v>
      </c>
      <c r="H42" s="9" t="s">
        <v>159</v>
      </c>
      <c r="I42" s="7">
        <v>0</v>
      </c>
      <c r="J42" s="6" t="s">
        <v>117</v>
      </c>
      <c r="K42" s="10" t="s">
        <v>40</v>
      </c>
      <c r="L42" s="8" t="s">
        <v>54</v>
      </c>
      <c r="M42" s="18">
        <f>SUM(498709+257912)</f>
        <v>756621</v>
      </c>
      <c r="Q42"/>
    </row>
    <row r="43" spans="1:17" x14ac:dyDescent="0.25">
      <c r="A43" s="7">
        <v>1660</v>
      </c>
      <c r="B43" s="6" t="s">
        <v>111</v>
      </c>
      <c r="C43" s="10" t="s">
        <v>124</v>
      </c>
      <c r="D43" s="6">
        <v>1</v>
      </c>
      <c r="E43" s="7">
        <v>11</v>
      </c>
      <c r="F43" s="6">
        <v>7.53</v>
      </c>
      <c r="G43" s="23" t="s">
        <v>211</v>
      </c>
      <c r="H43" s="9" t="s">
        <v>157</v>
      </c>
      <c r="I43" s="7">
        <v>0</v>
      </c>
      <c r="J43" s="6" t="s">
        <v>117</v>
      </c>
      <c r="K43" s="10" t="s">
        <v>118</v>
      </c>
      <c r="L43" s="8" t="s">
        <v>142</v>
      </c>
      <c r="M43" s="18">
        <v>414347</v>
      </c>
      <c r="Q43"/>
    </row>
    <row r="44" spans="1:17" x14ac:dyDescent="0.25">
      <c r="A44" s="7">
        <v>909</v>
      </c>
      <c r="B44" s="6" t="s">
        <v>112</v>
      </c>
      <c r="C44" s="10" t="s">
        <v>128</v>
      </c>
      <c r="D44" s="6">
        <v>3</v>
      </c>
      <c r="E44" s="7">
        <v>37</v>
      </c>
      <c r="F44" s="6">
        <v>7.835</v>
      </c>
      <c r="G44" s="23" t="s">
        <v>210</v>
      </c>
      <c r="H44" s="9" t="s">
        <v>158</v>
      </c>
      <c r="I44" s="7">
        <v>0</v>
      </c>
      <c r="J44" s="6" t="s">
        <v>117</v>
      </c>
      <c r="K44" s="10" t="s">
        <v>125</v>
      </c>
      <c r="L44" s="8" t="s">
        <v>126</v>
      </c>
      <c r="M44" s="18">
        <v>1494644</v>
      </c>
      <c r="Q44"/>
    </row>
    <row r="45" spans="1:17" x14ac:dyDescent="0.25">
      <c r="A45" s="7">
        <v>774</v>
      </c>
      <c r="B45" s="6" t="s">
        <v>127</v>
      </c>
      <c r="C45" s="14" t="s">
        <v>129</v>
      </c>
      <c r="D45" s="6">
        <v>5</v>
      </c>
      <c r="E45" s="7">
        <v>86</v>
      </c>
      <c r="F45" s="6">
        <v>8.15</v>
      </c>
      <c r="G45" s="23" t="s">
        <v>209</v>
      </c>
      <c r="H45" s="9" t="s">
        <v>157</v>
      </c>
      <c r="I45" s="7">
        <v>1</v>
      </c>
      <c r="J45" s="6" t="s">
        <v>117</v>
      </c>
      <c r="K45" s="10" t="s">
        <v>121</v>
      </c>
      <c r="L45" s="8" t="s">
        <v>99</v>
      </c>
      <c r="M45" s="18">
        <f>SUM(511167+1108464+948070+594547+1602502)</f>
        <v>4764750</v>
      </c>
      <c r="Q45"/>
    </row>
    <row r="46" spans="1:17" x14ac:dyDescent="0.25">
      <c r="A46" s="7">
        <v>67</v>
      </c>
      <c r="B46" s="6" t="s">
        <v>113</v>
      </c>
      <c r="C46" s="10" t="s">
        <v>131</v>
      </c>
      <c r="D46" s="6">
        <v>2</v>
      </c>
      <c r="E46" s="7">
        <v>25</v>
      </c>
      <c r="F46" s="6">
        <v>8.65</v>
      </c>
      <c r="G46" s="23" t="s">
        <v>208</v>
      </c>
      <c r="H46" s="9" t="s">
        <v>158</v>
      </c>
      <c r="I46" s="7">
        <v>3</v>
      </c>
      <c r="J46" s="6">
        <v>8.3800000000000008</v>
      </c>
      <c r="K46" s="10" t="s">
        <v>132</v>
      </c>
      <c r="L46" s="8" t="s">
        <v>130</v>
      </c>
      <c r="M46" s="18">
        <f>SUM(1320153+403104)</f>
        <v>1723257</v>
      </c>
      <c r="Q46"/>
    </row>
    <row r="47" spans="1:17" x14ac:dyDescent="0.25">
      <c r="A47" s="7">
        <v>950</v>
      </c>
      <c r="B47" s="6" t="s">
        <v>114</v>
      </c>
      <c r="C47" s="10" t="s">
        <v>133</v>
      </c>
      <c r="D47" s="6">
        <v>2</v>
      </c>
      <c r="E47" s="7">
        <v>24</v>
      </c>
      <c r="F47" s="6">
        <f>AVERAGE(8.5,7.5)</f>
        <v>8</v>
      </c>
      <c r="G47" s="23" t="s">
        <v>207</v>
      </c>
      <c r="H47" s="9" t="s">
        <v>158</v>
      </c>
      <c r="I47" s="7">
        <v>0</v>
      </c>
      <c r="J47" s="6" t="s">
        <v>117</v>
      </c>
      <c r="K47" s="10" t="s">
        <v>50</v>
      </c>
      <c r="L47" s="8" t="s">
        <v>134</v>
      </c>
      <c r="M47" s="18">
        <f>SUM(1620350,3104422)</f>
        <v>4724772</v>
      </c>
      <c r="Q47"/>
    </row>
    <row r="48" spans="1:17" x14ac:dyDescent="0.25">
      <c r="A48" s="7">
        <v>449</v>
      </c>
      <c r="B48" s="6" t="s">
        <v>115</v>
      </c>
      <c r="C48" s="10" t="s">
        <v>135</v>
      </c>
      <c r="D48" s="6">
        <v>2</v>
      </c>
      <c r="E48" s="7">
        <v>720</v>
      </c>
      <c r="F48" s="6">
        <v>8.125</v>
      </c>
      <c r="G48" s="23" t="s">
        <v>206</v>
      </c>
      <c r="H48" s="9" t="s">
        <v>157</v>
      </c>
      <c r="I48" s="7">
        <v>11</v>
      </c>
      <c r="J48" s="6">
        <v>7.8</v>
      </c>
      <c r="K48" s="10" t="s">
        <v>136</v>
      </c>
      <c r="L48" s="8" t="s">
        <v>47</v>
      </c>
      <c r="M48" s="18">
        <v>5148282</v>
      </c>
      <c r="Q48"/>
    </row>
    <row r="49" spans="1:17" x14ac:dyDescent="0.25">
      <c r="A49" s="7">
        <v>230</v>
      </c>
      <c r="B49" s="6" t="s">
        <v>169</v>
      </c>
      <c r="C49" s="10" t="s">
        <v>137</v>
      </c>
      <c r="D49" s="6">
        <v>1</v>
      </c>
      <c r="E49" s="7">
        <v>24</v>
      </c>
      <c r="F49" s="6">
        <v>8.32</v>
      </c>
      <c r="G49" s="23" t="s">
        <v>205</v>
      </c>
      <c r="H49" s="9" t="s">
        <v>158</v>
      </c>
      <c r="I49" s="7">
        <v>0</v>
      </c>
      <c r="J49" s="6" t="s">
        <v>117</v>
      </c>
      <c r="K49" s="10" t="s">
        <v>138</v>
      </c>
      <c r="L49" s="8" t="s">
        <v>37</v>
      </c>
      <c r="M49" s="19">
        <v>592901</v>
      </c>
      <c r="Q49"/>
    </row>
    <row r="50" spans="1:17" x14ac:dyDescent="0.25">
      <c r="A50" s="7">
        <v>413</v>
      </c>
      <c r="B50" s="6" t="s">
        <v>116</v>
      </c>
      <c r="C50" s="10" t="s">
        <v>139</v>
      </c>
      <c r="D50" s="6">
        <v>1</v>
      </c>
      <c r="E50" s="7">
        <v>12</v>
      </c>
      <c r="F50" s="6">
        <v>8.15</v>
      </c>
      <c r="G50" s="23" t="s">
        <v>204</v>
      </c>
      <c r="H50" s="9" t="s">
        <v>157</v>
      </c>
      <c r="I50" s="7">
        <v>0</v>
      </c>
      <c r="J50" s="6" t="s">
        <v>117</v>
      </c>
      <c r="K50" s="10" t="s">
        <v>140</v>
      </c>
      <c r="L50" s="8" t="s">
        <v>142</v>
      </c>
      <c r="M50" s="19">
        <v>229007</v>
      </c>
      <c r="Q50"/>
    </row>
    <row r="51" spans="1:17" x14ac:dyDescent="0.25">
      <c r="Q51" s="15"/>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8999-5A7A-45B8-9161-E0A0EB44BC0F}">
  <dimension ref="A2:BS56"/>
  <sheetViews>
    <sheetView zoomScale="90" workbookViewId="0">
      <selection activeCell="L11" sqref="L11"/>
    </sheetView>
  </sheetViews>
  <sheetFormatPr defaultRowHeight="15" x14ac:dyDescent="0.25"/>
  <cols>
    <col min="1" max="1" width="32.42578125" bestFit="1" customWidth="1"/>
    <col min="2" max="2" width="16.28515625" bestFit="1" customWidth="1"/>
    <col min="3" max="3" width="11.5703125" bestFit="1" customWidth="1"/>
    <col min="4" max="4" width="21.5703125" bestFit="1" customWidth="1"/>
    <col min="5" max="5" width="6.7109375" bestFit="1" customWidth="1"/>
    <col min="6" max="6" width="12" bestFit="1" customWidth="1"/>
    <col min="7" max="7" width="12.42578125" bestFit="1" customWidth="1"/>
    <col min="8" max="8" width="16.28515625" bestFit="1" customWidth="1"/>
    <col min="9" max="9" width="6.140625" bestFit="1" customWidth="1"/>
    <col min="10" max="10" width="8.140625" bestFit="1" customWidth="1"/>
    <col min="11" max="11" width="13.42578125" bestFit="1" customWidth="1"/>
    <col min="12" max="12" width="16" bestFit="1" customWidth="1"/>
    <col min="13" max="13" width="11" bestFit="1" customWidth="1"/>
    <col min="14" max="14" width="11.42578125" bestFit="1" customWidth="1"/>
    <col min="15" max="15" width="11.28515625" bestFit="1" customWidth="1"/>
    <col min="16" max="16" width="10.42578125" bestFit="1" customWidth="1"/>
    <col min="17" max="17" width="10.85546875" bestFit="1" customWidth="1"/>
    <col min="18" max="18" width="7.7109375" bestFit="1" customWidth="1"/>
    <col min="19" max="19" width="10.140625" bestFit="1" customWidth="1"/>
    <col min="20" max="20" width="7.28515625" bestFit="1" customWidth="1"/>
    <col min="21" max="21" width="15.140625" bestFit="1" customWidth="1"/>
    <col min="22" max="22" width="13.85546875" bestFit="1" customWidth="1"/>
    <col min="23" max="23" width="6.7109375" bestFit="1" customWidth="1"/>
    <col min="24" max="24" width="6.85546875" bestFit="1" customWidth="1"/>
    <col min="25" max="25" width="13.42578125" bestFit="1" customWidth="1"/>
    <col min="26" max="26" width="13.7109375" bestFit="1" customWidth="1"/>
    <col min="27" max="27" width="8" bestFit="1" customWidth="1"/>
    <col min="28" max="28" width="27.5703125" bestFit="1" customWidth="1"/>
    <col min="29" max="29" width="10.5703125" bestFit="1" customWidth="1"/>
    <col min="30" max="30" width="14.7109375" bestFit="1" customWidth="1"/>
    <col min="31" max="31" width="20.140625" bestFit="1" customWidth="1"/>
    <col min="32" max="32" width="8.85546875" bestFit="1" customWidth="1"/>
    <col min="33" max="33" width="10.140625" bestFit="1" customWidth="1"/>
    <col min="34" max="34" width="10.42578125" bestFit="1" customWidth="1"/>
    <col min="35" max="35" width="26.5703125" bestFit="1" customWidth="1"/>
    <col min="36" max="36" width="16.7109375" bestFit="1" customWidth="1"/>
    <col min="37" max="37" width="11.5703125" bestFit="1" customWidth="1"/>
    <col min="38" max="38" width="21.5703125" bestFit="1" customWidth="1"/>
    <col min="39" max="39" width="10" bestFit="1" customWidth="1"/>
    <col min="40" max="40" width="12" bestFit="1" customWidth="1"/>
    <col min="41" max="41" width="12.42578125" bestFit="1" customWidth="1"/>
    <col min="42" max="42" width="16.28515625" bestFit="1" customWidth="1"/>
    <col min="43" max="43" width="7.7109375" bestFit="1" customWidth="1"/>
    <col min="44" max="44" width="8.85546875" bestFit="1" customWidth="1"/>
    <col min="45" max="45" width="13.42578125" bestFit="1" customWidth="1"/>
    <col min="46" max="46" width="16" bestFit="1" customWidth="1"/>
    <col min="47" max="47" width="11" bestFit="1" customWidth="1"/>
    <col min="48" max="48" width="11.42578125" bestFit="1" customWidth="1"/>
    <col min="49" max="49" width="11.28515625" bestFit="1" customWidth="1"/>
    <col min="50" max="50" width="10.42578125" bestFit="1" customWidth="1"/>
    <col min="51" max="51" width="10.85546875" bestFit="1" customWidth="1"/>
    <col min="52" max="52" width="8.85546875" bestFit="1" customWidth="1"/>
    <col min="53" max="53" width="10.140625" bestFit="1" customWidth="1"/>
    <col min="54" max="54" width="8.85546875" bestFit="1" customWidth="1"/>
    <col min="55" max="55" width="15.140625" bestFit="1" customWidth="1"/>
    <col min="56" max="56" width="13.85546875" bestFit="1" customWidth="1"/>
    <col min="57" max="57" width="8.85546875" bestFit="1" customWidth="1"/>
    <col min="58" max="58" width="6.85546875" bestFit="1" customWidth="1"/>
    <col min="59" max="59" width="13.42578125" bestFit="1" customWidth="1"/>
    <col min="60" max="60" width="13.7109375" bestFit="1" customWidth="1"/>
    <col min="61" max="61" width="8.85546875" bestFit="1" customWidth="1"/>
    <col min="62" max="62" width="27.5703125" bestFit="1" customWidth="1"/>
    <col min="63" max="63" width="10.5703125" bestFit="1" customWidth="1"/>
    <col min="64" max="64" width="14.7109375" bestFit="1" customWidth="1"/>
    <col min="65" max="65" width="20.140625" bestFit="1" customWidth="1"/>
    <col min="66" max="66" width="8.85546875" bestFit="1" customWidth="1"/>
    <col min="67" max="67" width="10.140625" bestFit="1" customWidth="1"/>
    <col min="68" max="68" width="10.42578125" bestFit="1" customWidth="1"/>
    <col min="69" max="69" width="26.5703125" bestFit="1" customWidth="1"/>
    <col min="70" max="70" width="17.5703125" bestFit="1" customWidth="1"/>
    <col min="71" max="71" width="21.85546875" bestFit="1" customWidth="1"/>
    <col min="72" max="72" width="25.140625" bestFit="1" customWidth="1"/>
    <col min="73" max="73" width="10.7109375" bestFit="1" customWidth="1"/>
    <col min="74" max="74" width="13.85546875" bestFit="1" customWidth="1"/>
    <col min="75" max="75" width="12" bestFit="1" customWidth="1"/>
    <col min="76" max="76" width="15.140625" bestFit="1" customWidth="1"/>
    <col min="77" max="79" width="12.28515625" bestFit="1" customWidth="1"/>
    <col min="80" max="80" width="15.42578125" bestFit="1" customWidth="1"/>
    <col min="81" max="81" width="28.42578125" bestFit="1" customWidth="1"/>
    <col min="82" max="82" width="31.5703125" bestFit="1" customWidth="1"/>
    <col min="83" max="83" width="16.7109375" bestFit="1" customWidth="1"/>
    <col min="84" max="84" width="9.28515625" bestFit="1" customWidth="1"/>
    <col min="85" max="87" width="13.42578125" bestFit="1" customWidth="1"/>
    <col min="88" max="88" width="16.5703125" bestFit="1" customWidth="1"/>
    <col min="89" max="89" width="23.42578125" bestFit="1" customWidth="1"/>
    <col min="90" max="90" width="26.5703125" bestFit="1" customWidth="1"/>
    <col min="91" max="93" width="9" bestFit="1" customWidth="1"/>
    <col min="94" max="94" width="11.28515625" bestFit="1" customWidth="1"/>
    <col min="95" max="95" width="13.85546875" bestFit="1" customWidth="1"/>
    <col min="96" max="96" width="17" bestFit="1" customWidth="1"/>
    <col min="97" max="98" width="14.28515625" bestFit="1" customWidth="1"/>
    <col min="99" max="99" width="17.5703125" bestFit="1" customWidth="1"/>
    <col min="100" max="100" width="18.140625" bestFit="1" customWidth="1"/>
    <col min="101" max="101" width="21.42578125" bestFit="1" customWidth="1"/>
    <col min="102" max="102" width="8" bestFit="1" customWidth="1"/>
    <col min="103" max="103" width="11" bestFit="1" customWidth="1"/>
    <col min="104" max="105" width="10" bestFit="1" customWidth="1"/>
    <col min="106" max="106" width="13.140625" bestFit="1" customWidth="1"/>
    <col min="107" max="107" width="15.28515625" bestFit="1" customWidth="1"/>
    <col min="108" max="108" width="18.42578125" bestFit="1" customWidth="1"/>
    <col min="109" max="109" width="17.85546875" bestFit="1" customWidth="1"/>
    <col min="110" max="110" width="21" bestFit="1" customWidth="1"/>
    <col min="111" max="112" width="12.85546875" bestFit="1" customWidth="1"/>
    <col min="113" max="113" width="16" bestFit="1" customWidth="1"/>
    <col min="114" max="114" width="13.28515625" bestFit="1" customWidth="1"/>
    <col min="115" max="115" width="16.42578125" bestFit="1" customWidth="1"/>
    <col min="116" max="116" width="13.140625" bestFit="1" customWidth="1"/>
    <col min="117" max="117" width="16.28515625" bestFit="1" customWidth="1"/>
    <col min="118" max="119" width="12.28515625" bestFit="1" customWidth="1"/>
    <col min="120" max="120" width="15.42578125" bestFit="1" customWidth="1"/>
    <col min="121" max="121" width="12.7109375" bestFit="1" customWidth="1"/>
    <col min="122" max="122" width="15.85546875" bestFit="1" customWidth="1"/>
    <col min="123" max="123" width="9.5703125" bestFit="1" customWidth="1"/>
    <col min="124" max="124" width="12.5703125" bestFit="1" customWidth="1"/>
    <col min="125" max="125" width="12" bestFit="1" customWidth="1"/>
    <col min="126" max="126" width="15.140625" bestFit="1" customWidth="1"/>
    <col min="127" max="129" width="9" bestFit="1" customWidth="1"/>
    <col min="130" max="130" width="12" bestFit="1" customWidth="1"/>
    <col min="131" max="131" width="17" bestFit="1" customWidth="1"/>
    <col min="132" max="132" width="20.140625" bestFit="1" customWidth="1"/>
    <col min="133" max="133" width="15.7109375" bestFit="1" customWidth="1"/>
    <col min="134" max="134" width="18.85546875" bestFit="1" customWidth="1"/>
    <col min="135" max="136" width="8" bestFit="1" customWidth="1"/>
    <col min="137" max="137" width="10.85546875" bestFit="1" customWidth="1"/>
    <col min="138" max="138" width="8.7109375" bestFit="1" customWidth="1"/>
    <col min="139" max="139" width="11.7109375" bestFit="1" customWidth="1"/>
    <col min="140" max="140" width="15.28515625" bestFit="1" customWidth="1"/>
    <col min="141" max="141" width="18.42578125" bestFit="1" customWidth="1"/>
    <col min="142" max="142" width="15.5703125" bestFit="1" customWidth="1"/>
    <col min="143" max="143" width="18.7109375" bestFit="1" customWidth="1"/>
    <col min="144" max="144" width="9.85546875" bestFit="1" customWidth="1"/>
    <col min="145" max="145" width="12.85546875" bestFit="1" customWidth="1"/>
    <col min="146" max="146" width="29.42578125" bestFit="1" customWidth="1"/>
    <col min="147" max="147" width="32.5703125" bestFit="1" customWidth="1"/>
    <col min="148" max="148" width="12.42578125" bestFit="1" customWidth="1"/>
    <col min="149" max="149" width="15.5703125" bestFit="1" customWidth="1"/>
    <col min="150" max="151" width="16.5703125" bestFit="1" customWidth="1"/>
    <col min="152" max="152" width="19.7109375" bestFit="1" customWidth="1"/>
    <col min="153" max="153" width="22" bestFit="1" customWidth="1"/>
    <col min="154" max="154" width="25.140625" bestFit="1" customWidth="1"/>
    <col min="155" max="155" width="10.7109375" bestFit="1" customWidth="1"/>
    <col min="156" max="156" width="13.85546875" bestFit="1" customWidth="1"/>
    <col min="157" max="157" width="12" bestFit="1" customWidth="1"/>
    <col min="158" max="158" width="15.140625" bestFit="1" customWidth="1"/>
    <col min="159" max="161" width="12.28515625" bestFit="1" customWidth="1"/>
    <col min="162" max="162" width="15.42578125" bestFit="1" customWidth="1"/>
    <col min="163" max="163" width="28.42578125" bestFit="1" customWidth="1"/>
    <col min="164" max="164" width="31.5703125" bestFit="1" customWidth="1"/>
    <col min="165" max="165" width="17.5703125" bestFit="1" customWidth="1"/>
    <col min="166" max="168" width="21.85546875" bestFit="1" customWidth="1"/>
    <col min="169" max="169" width="17.5703125" bestFit="1" customWidth="1"/>
    <col min="170" max="170" width="12.42578125" bestFit="1" customWidth="1"/>
    <col min="171" max="171" width="16.7109375" bestFit="1" customWidth="1"/>
    <col min="172" max="172" width="16" bestFit="1" customWidth="1"/>
    <col min="173" max="173" width="20.28515625" bestFit="1" customWidth="1"/>
    <col min="174" max="174" width="12.42578125" bestFit="1" customWidth="1"/>
    <col min="175" max="175" width="16.7109375" bestFit="1" customWidth="1"/>
    <col min="176" max="176" width="15" bestFit="1" customWidth="1"/>
    <col min="177" max="177" width="19.28515625" bestFit="1" customWidth="1"/>
    <col min="178" max="178" width="12.42578125" bestFit="1" customWidth="1"/>
    <col min="179" max="179" width="16.7109375" bestFit="1" customWidth="1"/>
    <col min="180" max="180" width="17" bestFit="1" customWidth="1"/>
    <col min="181" max="181" width="21.42578125" bestFit="1" customWidth="1"/>
    <col min="182" max="182" width="12.42578125" bestFit="1" customWidth="1"/>
    <col min="183" max="183" width="16.7109375" bestFit="1" customWidth="1"/>
    <col min="184" max="184" width="16" bestFit="1" customWidth="1"/>
    <col min="185" max="185" width="20.28515625" bestFit="1" customWidth="1"/>
    <col min="186" max="186" width="12.42578125" bestFit="1" customWidth="1"/>
    <col min="187" max="187" width="16.7109375" bestFit="1" customWidth="1"/>
    <col min="188" max="188" width="17" bestFit="1" customWidth="1"/>
    <col min="189" max="189" width="21.42578125" bestFit="1" customWidth="1"/>
    <col min="190" max="190" width="12.42578125" bestFit="1" customWidth="1"/>
    <col min="191" max="191" width="16.7109375" bestFit="1" customWidth="1"/>
    <col min="192" max="192" width="17" bestFit="1" customWidth="1"/>
    <col min="193" max="193" width="21.42578125" bestFit="1" customWidth="1"/>
    <col min="194" max="194" width="12.42578125" bestFit="1" customWidth="1"/>
    <col min="195" max="195" width="16.7109375" bestFit="1" customWidth="1"/>
    <col min="196" max="196" width="17" bestFit="1" customWidth="1"/>
    <col min="197" max="197" width="21.42578125" bestFit="1" customWidth="1"/>
    <col min="198" max="198" width="17.5703125" bestFit="1" customWidth="1"/>
    <col min="199" max="199" width="21.85546875" bestFit="1" customWidth="1"/>
  </cols>
  <sheetData>
    <row r="2" spans="1:71" x14ac:dyDescent="0.25">
      <c r="A2" s="16" t="s">
        <v>155</v>
      </c>
      <c r="B2" t="s">
        <v>150</v>
      </c>
    </row>
    <row r="4" spans="1:71" x14ac:dyDescent="0.25">
      <c r="B4" s="16" t="s">
        <v>149</v>
      </c>
    </row>
    <row r="5" spans="1:71" x14ac:dyDescent="0.25">
      <c r="B5" t="s">
        <v>152</v>
      </c>
      <c r="AJ5" t="s">
        <v>154</v>
      </c>
      <c r="BR5" t="s">
        <v>151</v>
      </c>
      <c r="BS5" t="s">
        <v>153</v>
      </c>
    </row>
    <row r="6" spans="1:71" x14ac:dyDescent="0.25">
      <c r="A6" s="16" t="s">
        <v>147</v>
      </c>
      <c r="B6" t="s">
        <v>138</v>
      </c>
      <c r="C6" t="s">
        <v>38</v>
      </c>
      <c r="D6" t="s">
        <v>85</v>
      </c>
      <c r="E6" t="s">
        <v>40</v>
      </c>
      <c r="F6" t="s">
        <v>32</v>
      </c>
      <c r="G6" t="s">
        <v>118</v>
      </c>
      <c r="H6" t="s">
        <v>108</v>
      </c>
      <c r="I6" t="s">
        <v>80</v>
      </c>
      <c r="J6" t="s">
        <v>121</v>
      </c>
      <c r="K6" t="s">
        <v>132</v>
      </c>
      <c r="L6" t="s">
        <v>93</v>
      </c>
      <c r="M6" t="s">
        <v>75</v>
      </c>
      <c r="N6" t="s">
        <v>125</v>
      </c>
      <c r="O6" t="s">
        <v>98</v>
      </c>
      <c r="P6" t="s">
        <v>50</v>
      </c>
      <c r="Q6" t="s">
        <v>65</v>
      </c>
      <c r="R6" t="s">
        <v>103</v>
      </c>
      <c r="S6" t="s">
        <v>140</v>
      </c>
      <c r="T6" t="s">
        <v>70</v>
      </c>
      <c r="U6" t="s">
        <v>53</v>
      </c>
      <c r="V6" t="s">
        <v>56</v>
      </c>
      <c r="W6" t="s">
        <v>61</v>
      </c>
      <c r="X6" t="s">
        <v>46</v>
      </c>
      <c r="Y6" t="s">
        <v>136</v>
      </c>
      <c r="Z6" t="s">
        <v>67</v>
      </c>
      <c r="AA6" t="s">
        <v>94</v>
      </c>
      <c r="AB6" t="s">
        <v>102</v>
      </c>
      <c r="AC6" t="s">
        <v>89</v>
      </c>
      <c r="AD6" t="s">
        <v>42</v>
      </c>
      <c r="AE6" t="s">
        <v>106</v>
      </c>
      <c r="AF6" t="s">
        <v>100</v>
      </c>
      <c r="AG6" t="s">
        <v>82</v>
      </c>
      <c r="AH6" t="s">
        <v>49</v>
      </c>
      <c r="AI6" t="s">
        <v>97</v>
      </c>
      <c r="AJ6" t="s">
        <v>138</v>
      </c>
      <c r="AK6" t="s">
        <v>38</v>
      </c>
      <c r="AL6" t="s">
        <v>85</v>
      </c>
      <c r="AM6" t="s">
        <v>40</v>
      </c>
      <c r="AN6" t="s">
        <v>32</v>
      </c>
      <c r="AO6" t="s">
        <v>118</v>
      </c>
      <c r="AP6" t="s">
        <v>108</v>
      </c>
      <c r="AQ6" t="s">
        <v>80</v>
      </c>
      <c r="AR6" t="s">
        <v>121</v>
      </c>
      <c r="AS6" t="s">
        <v>132</v>
      </c>
      <c r="AT6" t="s">
        <v>93</v>
      </c>
      <c r="AU6" t="s">
        <v>75</v>
      </c>
      <c r="AV6" t="s">
        <v>125</v>
      </c>
      <c r="AW6" t="s">
        <v>98</v>
      </c>
      <c r="AX6" t="s">
        <v>50</v>
      </c>
      <c r="AY6" t="s">
        <v>65</v>
      </c>
      <c r="AZ6" t="s">
        <v>103</v>
      </c>
      <c r="BA6" t="s">
        <v>140</v>
      </c>
      <c r="BB6" t="s">
        <v>70</v>
      </c>
      <c r="BC6" t="s">
        <v>53</v>
      </c>
      <c r="BD6" t="s">
        <v>56</v>
      </c>
      <c r="BE6" t="s">
        <v>61</v>
      </c>
      <c r="BF6" t="s">
        <v>46</v>
      </c>
      <c r="BG6" t="s">
        <v>136</v>
      </c>
      <c r="BH6" t="s">
        <v>67</v>
      </c>
      <c r="BI6" t="s">
        <v>94</v>
      </c>
      <c r="BJ6" t="s">
        <v>102</v>
      </c>
      <c r="BK6" t="s">
        <v>89</v>
      </c>
      <c r="BL6" t="s">
        <v>42</v>
      </c>
      <c r="BM6" t="s">
        <v>106</v>
      </c>
      <c r="BN6" t="s">
        <v>100</v>
      </c>
      <c r="BO6" t="s">
        <v>82</v>
      </c>
      <c r="BP6" t="s">
        <v>49</v>
      </c>
      <c r="BQ6" t="s">
        <v>97</v>
      </c>
    </row>
    <row r="7" spans="1:71" x14ac:dyDescent="0.25">
      <c r="A7" s="6" t="s">
        <v>30</v>
      </c>
      <c r="B7" s="27"/>
      <c r="C7" s="27"/>
      <c r="D7" s="27"/>
      <c r="E7" s="27"/>
      <c r="F7" s="27">
        <v>8.2899999999999991</v>
      </c>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v>3326174</v>
      </c>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v>8.2899999999999991</v>
      </c>
      <c r="BS7" s="27">
        <v>3326174</v>
      </c>
    </row>
    <row r="8" spans="1:71" x14ac:dyDescent="0.25">
      <c r="A8" s="6" t="s">
        <v>33</v>
      </c>
      <c r="B8" s="27"/>
      <c r="C8" s="27">
        <v>7.7</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v>2096752</v>
      </c>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v>7.7</v>
      </c>
      <c r="BS8" s="27">
        <v>2096752</v>
      </c>
    </row>
    <row r="9" spans="1:71" x14ac:dyDescent="0.25">
      <c r="A9" s="6" t="s">
        <v>14</v>
      </c>
      <c r="B9" s="27"/>
      <c r="C9" s="27"/>
      <c r="D9" s="27"/>
      <c r="E9" s="27"/>
      <c r="F9" s="27"/>
      <c r="G9" s="27"/>
      <c r="H9" s="27"/>
      <c r="I9" s="27"/>
      <c r="J9" s="27"/>
      <c r="K9" s="27"/>
      <c r="L9" s="27"/>
      <c r="M9" s="27"/>
      <c r="N9" s="27"/>
      <c r="O9" s="27"/>
      <c r="P9" s="27"/>
      <c r="Q9" s="27"/>
      <c r="R9" s="27"/>
      <c r="S9" s="27"/>
      <c r="T9" s="27">
        <v>7.9</v>
      </c>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v>2366714</v>
      </c>
      <c r="BC9" s="27"/>
      <c r="BD9" s="27"/>
      <c r="BE9" s="27"/>
      <c r="BF9" s="27"/>
      <c r="BG9" s="27"/>
      <c r="BH9" s="27"/>
      <c r="BI9" s="27"/>
      <c r="BJ9" s="27"/>
      <c r="BK9" s="27"/>
      <c r="BL9" s="27"/>
      <c r="BM9" s="27"/>
      <c r="BN9" s="27"/>
      <c r="BO9" s="27"/>
      <c r="BP9" s="27"/>
      <c r="BQ9" s="27"/>
      <c r="BR9" s="27">
        <v>7.9</v>
      </c>
      <c r="BS9" s="27">
        <v>2366714</v>
      </c>
    </row>
    <row r="10" spans="1:71" x14ac:dyDescent="0.25">
      <c r="A10" s="6" t="s">
        <v>116</v>
      </c>
      <c r="B10" s="27"/>
      <c r="C10" s="27"/>
      <c r="D10" s="27"/>
      <c r="E10" s="27"/>
      <c r="F10" s="27"/>
      <c r="G10" s="27"/>
      <c r="H10" s="27"/>
      <c r="I10" s="27"/>
      <c r="J10" s="27"/>
      <c r="K10" s="27"/>
      <c r="L10" s="27"/>
      <c r="M10" s="27"/>
      <c r="N10" s="27"/>
      <c r="O10" s="27"/>
      <c r="P10" s="27"/>
      <c r="Q10" s="27"/>
      <c r="R10" s="27"/>
      <c r="S10" s="27">
        <v>8.15</v>
      </c>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v>229007</v>
      </c>
      <c r="BB10" s="27"/>
      <c r="BC10" s="27"/>
      <c r="BD10" s="27"/>
      <c r="BE10" s="27"/>
      <c r="BF10" s="27"/>
      <c r="BG10" s="27"/>
      <c r="BH10" s="27"/>
      <c r="BI10" s="27"/>
      <c r="BJ10" s="27"/>
      <c r="BK10" s="27"/>
      <c r="BL10" s="27"/>
      <c r="BM10" s="27"/>
      <c r="BN10" s="27"/>
      <c r="BO10" s="27"/>
      <c r="BP10" s="27"/>
      <c r="BQ10" s="27"/>
      <c r="BR10" s="27">
        <v>8.15</v>
      </c>
      <c r="BS10" s="27">
        <v>229007</v>
      </c>
    </row>
    <row r="11" spans="1:71" x14ac:dyDescent="0.25">
      <c r="A11" s="6" t="s">
        <v>63</v>
      </c>
      <c r="B11" s="27"/>
      <c r="C11" s="27"/>
      <c r="D11" s="27"/>
      <c r="E11" s="27"/>
      <c r="F11" s="27"/>
      <c r="G11" s="27"/>
      <c r="H11" s="27"/>
      <c r="I11" s="27"/>
      <c r="J11" s="27"/>
      <c r="K11" s="27"/>
      <c r="L11" s="27"/>
      <c r="M11" s="27"/>
      <c r="N11" s="27"/>
      <c r="O11" s="27"/>
      <c r="P11" s="27"/>
      <c r="Q11" s="27">
        <v>8.6199999999999992</v>
      </c>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v>3766726</v>
      </c>
      <c r="AZ11" s="27"/>
      <c r="BA11" s="27"/>
      <c r="BB11" s="27"/>
      <c r="BC11" s="27"/>
      <c r="BD11" s="27"/>
      <c r="BE11" s="27"/>
      <c r="BF11" s="27"/>
      <c r="BG11" s="27"/>
      <c r="BH11" s="27"/>
      <c r="BI11" s="27"/>
      <c r="BJ11" s="27"/>
      <c r="BK11" s="27"/>
      <c r="BL11" s="27"/>
      <c r="BM11" s="27"/>
      <c r="BN11" s="27"/>
      <c r="BO11" s="27"/>
      <c r="BP11" s="27"/>
      <c r="BQ11" s="27"/>
      <c r="BR11" s="27">
        <v>8.6199999999999992</v>
      </c>
      <c r="BS11" s="27">
        <v>3766726</v>
      </c>
    </row>
    <row r="12" spans="1:71" x14ac:dyDescent="0.25">
      <c r="A12" s="6" t="s">
        <v>127</v>
      </c>
      <c r="B12" s="27"/>
      <c r="C12" s="27"/>
      <c r="D12" s="27"/>
      <c r="E12" s="27"/>
      <c r="F12" s="27"/>
      <c r="G12" s="27"/>
      <c r="H12" s="27"/>
      <c r="I12" s="27"/>
      <c r="J12" s="27">
        <v>8.15</v>
      </c>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v>4764750</v>
      </c>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v>8.15</v>
      </c>
      <c r="BS12" s="27">
        <v>4764750</v>
      </c>
    </row>
    <row r="13" spans="1:71" x14ac:dyDescent="0.25">
      <c r="A13" s="6" t="s">
        <v>10</v>
      </c>
      <c r="B13" s="27"/>
      <c r="C13" s="27"/>
      <c r="D13" s="27"/>
      <c r="E13" s="27">
        <v>8.1</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v>4660534</v>
      </c>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v>8.1</v>
      </c>
      <c r="BS13" s="27">
        <v>4660534</v>
      </c>
    </row>
    <row r="14" spans="1:71" x14ac:dyDescent="0.25">
      <c r="A14" s="6" t="s">
        <v>1</v>
      </c>
      <c r="B14" s="27"/>
      <c r="C14" s="27"/>
      <c r="D14" s="27">
        <v>8.9</v>
      </c>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v>3190132</v>
      </c>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v>8.9</v>
      </c>
      <c r="BS14" s="27">
        <v>3190132</v>
      </c>
    </row>
    <row r="15" spans="1:71" x14ac:dyDescent="0.25">
      <c r="A15" s="6" t="s">
        <v>51</v>
      </c>
      <c r="B15" s="27"/>
      <c r="C15" s="27"/>
      <c r="D15" s="27"/>
      <c r="E15" s="27"/>
      <c r="F15" s="27"/>
      <c r="G15" s="27"/>
      <c r="H15" s="27"/>
      <c r="I15" s="27"/>
      <c r="J15" s="27"/>
      <c r="K15" s="27"/>
      <c r="L15" s="27"/>
      <c r="M15" s="27"/>
      <c r="N15" s="27"/>
      <c r="O15" s="27"/>
      <c r="P15" s="27"/>
      <c r="Q15" s="27"/>
      <c r="R15" s="27"/>
      <c r="S15" s="27"/>
      <c r="T15" s="27"/>
      <c r="U15" s="27">
        <v>8.1750000000000007</v>
      </c>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v>459102</v>
      </c>
      <c r="BD15" s="27"/>
      <c r="BE15" s="27"/>
      <c r="BF15" s="27"/>
      <c r="BG15" s="27"/>
      <c r="BH15" s="27"/>
      <c r="BI15" s="27"/>
      <c r="BJ15" s="27"/>
      <c r="BK15" s="27"/>
      <c r="BL15" s="27"/>
      <c r="BM15" s="27"/>
      <c r="BN15" s="27"/>
      <c r="BO15" s="27"/>
      <c r="BP15" s="27"/>
      <c r="BQ15" s="27"/>
      <c r="BR15" s="27">
        <v>8.1750000000000007</v>
      </c>
      <c r="BS15" s="27">
        <v>459102</v>
      </c>
    </row>
    <row r="16" spans="1:71" x14ac:dyDescent="0.25">
      <c r="A16" s="6" t="s">
        <v>113</v>
      </c>
      <c r="B16" s="27"/>
      <c r="C16" s="27"/>
      <c r="D16" s="27"/>
      <c r="E16" s="27"/>
      <c r="F16" s="27"/>
      <c r="G16" s="27"/>
      <c r="H16" s="27"/>
      <c r="I16" s="27"/>
      <c r="J16" s="27"/>
      <c r="K16" s="27">
        <v>8.65</v>
      </c>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v>1723257</v>
      </c>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v>8.65</v>
      </c>
      <c r="BS16" s="27">
        <v>1723257</v>
      </c>
    </row>
    <row r="17" spans="1:71" x14ac:dyDescent="0.25">
      <c r="A17" s="6" t="s">
        <v>110</v>
      </c>
      <c r="B17" s="27"/>
      <c r="C17" s="27"/>
      <c r="D17" s="27"/>
      <c r="E17" s="27"/>
      <c r="F17" s="27"/>
      <c r="G17" s="27"/>
      <c r="H17" s="27"/>
      <c r="I17" s="27"/>
      <c r="J17" s="27">
        <v>8.1</v>
      </c>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v>1215940</v>
      </c>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v>8.1</v>
      </c>
      <c r="BS17" s="27">
        <v>1215940</v>
      </c>
    </row>
    <row r="18" spans="1:71" x14ac:dyDescent="0.25">
      <c r="A18" s="6" t="s">
        <v>76</v>
      </c>
      <c r="B18" s="27"/>
      <c r="C18" s="27"/>
      <c r="D18" s="27"/>
      <c r="E18" s="27">
        <v>8.49</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v>4053230</v>
      </c>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v>8.49</v>
      </c>
      <c r="BS18" s="27">
        <v>4053230</v>
      </c>
    </row>
    <row r="19" spans="1:71" x14ac:dyDescent="0.25">
      <c r="A19" s="6" t="s">
        <v>115</v>
      </c>
      <c r="B19" s="27"/>
      <c r="C19" s="27"/>
      <c r="D19" s="27"/>
      <c r="E19" s="27"/>
      <c r="F19" s="27"/>
      <c r="G19" s="27"/>
      <c r="H19" s="27"/>
      <c r="I19" s="27"/>
      <c r="J19" s="27"/>
      <c r="K19" s="27"/>
      <c r="L19" s="27"/>
      <c r="M19" s="27"/>
      <c r="N19" s="27"/>
      <c r="O19" s="27"/>
      <c r="P19" s="27"/>
      <c r="Q19" s="27"/>
      <c r="R19" s="27"/>
      <c r="S19" s="27"/>
      <c r="T19" s="27"/>
      <c r="U19" s="27"/>
      <c r="V19" s="27"/>
      <c r="W19" s="27"/>
      <c r="X19" s="27"/>
      <c r="Y19" s="27">
        <v>8.125</v>
      </c>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v>5148282</v>
      </c>
      <c r="BH19" s="27"/>
      <c r="BI19" s="27"/>
      <c r="BJ19" s="27"/>
      <c r="BK19" s="27"/>
      <c r="BL19" s="27"/>
      <c r="BM19" s="27"/>
      <c r="BN19" s="27"/>
      <c r="BO19" s="27"/>
      <c r="BP19" s="27"/>
      <c r="BQ19" s="27"/>
      <c r="BR19" s="27">
        <v>8.125</v>
      </c>
      <c r="BS19" s="27">
        <v>5148282</v>
      </c>
    </row>
    <row r="20" spans="1:71" x14ac:dyDescent="0.25">
      <c r="A20" s="6" t="s">
        <v>41</v>
      </c>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v>8.6999999999999993</v>
      </c>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v>2226178</v>
      </c>
      <c r="BM20" s="27"/>
      <c r="BN20" s="27"/>
      <c r="BO20" s="27"/>
      <c r="BP20" s="27"/>
      <c r="BQ20" s="27"/>
      <c r="BR20" s="27">
        <v>8.6999999999999993</v>
      </c>
      <c r="BS20" s="27">
        <v>2226178</v>
      </c>
    </row>
    <row r="21" spans="1:71" x14ac:dyDescent="0.25">
      <c r="A21" s="6" t="s">
        <v>114</v>
      </c>
      <c r="B21" s="27"/>
      <c r="C21" s="27"/>
      <c r="D21" s="27"/>
      <c r="E21" s="27"/>
      <c r="F21" s="27"/>
      <c r="G21" s="27"/>
      <c r="H21" s="27"/>
      <c r="I21" s="27"/>
      <c r="J21" s="27"/>
      <c r="K21" s="27"/>
      <c r="L21" s="27"/>
      <c r="M21" s="27"/>
      <c r="N21" s="27"/>
      <c r="O21" s="27"/>
      <c r="P21" s="27">
        <v>8</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v>4724772</v>
      </c>
      <c r="AY21" s="27"/>
      <c r="AZ21" s="27"/>
      <c r="BA21" s="27"/>
      <c r="BB21" s="27"/>
      <c r="BC21" s="27"/>
      <c r="BD21" s="27"/>
      <c r="BE21" s="27"/>
      <c r="BF21" s="27"/>
      <c r="BG21" s="27"/>
      <c r="BH21" s="27"/>
      <c r="BI21" s="27"/>
      <c r="BJ21" s="27"/>
      <c r="BK21" s="27"/>
      <c r="BL21" s="27"/>
      <c r="BM21" s="27"/>
      <c r="BN21" s="27"/>
      <c r="BO21" s="27"/>
      <c r="BP21" s="27"/>
      <c r="BQ21" s="27"/>
      <c r="BR21" s="27">
        <v>8</v>
      </c>
      <c r="BS21" s="27">
        <v>4724772</v>
      </c>
    </row>
    <row r="22" spans="1:71" x14ac:dyDescent="0.25">
      <c r="A22" s="6" t="s">
        <v>57</v>
      </c>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v>7.73</v>
      </c>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v>784856</v>
      </c>
      <c r="BM22" s="27"/>
      <c r="BN22" s="27"/>
      <c r="BO22" s="27"/>
      <c r="BP22" s="27"/>
      <c r="BQ22" s="27"/>
      <c r="BR22" s="27">
        <v>7.73</v>
      </c>
      <c r="BS22" s="27">
        <v>784856</v>
      </c>
    </row>
    <row r="23" spans="1:71" x14ac:dyDescent="0.25">
      <c r="A23" s="6" t="s">
        <v>12</v>
      </c>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v>9.07</v>
      </c>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v>3318180</v>
      </c>
      <c r="BP23" s="27"/>
      <c r="BQ23" s="27"/>
      <c r="BR23" s="27">
        <v>9.07</v>
      </c>
      <c r="BS23" s="27">
        <v>3318180</v>
      </c>
    </row>
    <row r="24" spans="1:71" x14ac:dyDescent="0.25">
      <c r="A24" s="6" t="s">
        <v>111</v>
      </c>
      <c r="B24" s="27"/>
      <c r="C24" s="27"/>
      <c r="D24" s="27"/>
      <c r="E24" s="27"/>
      <c r="F24" s="27"/>
      <c r="G24" s="27">
        <v>7.53</v>
      </c>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v>414347</v>
      </c>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v>7.53</v>
      </c>
      <c r="BS24" s="27">
        <v>414347</v>
      </c>
    </row>
    <row r="25" spans="1:71" x14ac:dyDescent="0.25">
      <c r="A25" s="6" t="s">
        <v>112</v>
      </c>
      <c r="B25" s="27"/>
      <c r="C25" s="27"/>
      <c r="D25" s="27"/>
      <c r="E25" s="27"/>
      <c r="F25" s="27"/>
      <c r="G25" s="27"/>
      <c r="H25" s="27"/>
      <c r="I25" s="27"/>
      <c r="J25" s="27"/>
      <c r="K25" s="27"/>
      <c r="L25" s="27"/>
      <c r="M25" s="27"/>
      <c r="N25" s="27">
        <v>7.835</v>
      </c>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v>1494644</v>
      </c>
      <c r="AW25" s="27"/>
      <c r="AX25" s="27"/>
      <c r="AY25" s="27"/>
      <c r="AZ25" s="27"/>
      <c r="BA25" s="27"/>
      <c r="BB25" s="27"/>
      <c r="BC25" s="27"/>
      <c r="BD25" s="27"/>
      <c r="BE25" s="27"/>
      <c r="BF25" s="27"/>
      <c r="BG25" s="27"/>
      <c r="BH25" s="27"/>
      <c r="BI25" s="27"/>
      <c r="BJ25" s="27"/>
      <c r="BK25" s="27"/>
      <c r="BL25" s="27"/>
      <c r="BM25" s="27"/>
      <c r="BN25" s="27"/>
      <c r="BO25" s="27"/>
      <c r="BP25" s="27"/>
      <c r="BQ25" s="27"/>
      <c r="BR25" s="27">
        <v>7.835</v>
      </c>
      <c r="BS25" s="27">
        <v>1494644</v>
      </c>
    </row>
    <row r="26" spans="1:71" x14ac:dyDescent="0.25">
      <c r="A26" s="6" t="s">
        <v>167</v>
      </c>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v>8.5</v>
      </c>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v>9063670</v>
      </c>
      <c r="BQ26" s="27"/>
      <c r="BR26" s="27">
        <v>8.5</v>
      </c>
      <c r="BS26" s="27">
        <v>9063670</v>
      </c>
    </row>
    <row r="27" spans="1:71" x14ac:dyDescent="0.25">
      <c r="A27" s="6" t="s">
        <v>168</v>
      </c>
      <c r="B27" s="27"/>
      <c r="C27" s="27"/>
      <c r="D27" s="27"/>
      <c r="E27" s="27"/>
      <c r="F27" s="27"/>
      <c r="G27" s="27"/>
      <c r="H27" s="27"/>
      <c r="I27" s="27"/>
      <c r="J27" s="27"/>
      <c r="K27" s="27"/>
      <c r="L27" s="27"/>
      <c r="M27" s="27"/>
      <c r="N27" s="27"/>
      <c r="O27" s="27"/>
      <c r="P27" s="27">
        <v>9.0399999999999991</v>
      </c>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v>2704285</v>
      </c>
      <c r="AY27" s="27"/>
      <c r="AZ27" s="27"/>
      <c r="BA27" s="27"/>
      <c r="BB27" s="27"/>
      <c r="BC27" s="27"/>
      <c r="BD27" s="27"/>
      <c r="BE27" s="27"/>
      <c r="BF27" s="27"/>
      <c r="BG27" s="27"/>
      <c r="BH27" s="27"/>
      <c r="BI27" s="27"/>
      <c r="BJ27" s="27"/>
      <c r="BK27" s="27"/>
      <c r="BL27" s="27"/>
      <c r="BM27" s="27"/>
      <c r="BN27" s="27"/>
      <c r="BO27" s="27"/>
      <c r="BP27" s="27"/>
      <c r="BQ27" s="27"/>
      <c r="BR27" s="27">
        <v>9.0399999999999991</v>
      </c>
      <c r="BS27" s="27">
        <v>2704285</v>
      </c>
    </row>
    <row r="28" spans="1:71" x14ac:dyDescent="0.25">
      <c r="A28" s="6" t="s">
        <v>174</v>
      </c>
      <c r="B28" s="27"/>
      <c r="C28" s="27">
        <v>8.4</v>
      </c>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v>3800042</v>
      </c>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v>8.4</v>
      </c>
      <c r="BS28" s="27">
        <v>3800042</v>
      </c>
    </row>
    <row r="29" spans="1:71" x14ac:dyDescent="0.25">
      <c r="A29" s="6" t="s">
        <v>164</v>
      </c>
      <c r="B29" s="27"/>
      <c r="C29" s="27"/>
      <c r="D29" s="27"/>
      <c r="E29" s="27"/>
      <c r="F29" s="27"/>
      <c r="G29" s="27"/>
      <c r="H29" s="27"/>
      <c r="I29" s="27"/>
      <c r="J29" s="27"/>
      <c r="K29" s="27"/>
      <c r="L29" s="27"/>
      <c r="M29" s="27"/>
      <c r="N29" s="27"/>
      <c r="O29" s="27"/>
      <c r="P29" s="27"/>
      <c r="Q29" s="27"/>
      <c r="R29" s="27"/>
      <c r="S29" s="27"/>
      <c r="T29" s="27">
        <v>8.3000000000000007</v>
      </c>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v>827002</v>
      </c>
      <c r="BC29" s="27"/>
      <c r="BD29" s="27"/>
      <c r="BE29" s="27"/>
      <c r="BF29" s="27"/>
      <c r="BG29" s="27"/>
      <c r="BH29" s="27"/>
      <c r="BI29" s="27"/>
      <c r="BJ29" s="27"/>
      <c r="BK29" s="27"/>
      <c r="BL29" s="27"/>
      <c r="BM29" s="27"/>
      <c r="BN29" s="27"/>
      <c r="BO29" s="27"/>
      <c r="BP29" s="27"/>
      <c r="BQ29" s="27"/>
      <c r="BR29" s="27">
        <v>8.3000000000000007</v>
      </c>
      <c r="BS29" s="27">
        <v>827002</v>
      </c>
    </row>
    <row r="30" spans="1:71" x14ac:dyDescent="0.25">
      <c r="A30" s="6" t="s">
        <v>173</v>
      </c>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v>8.99</v>
      </c>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v>1718096</v>
      </c>
      <c r="BL30" s="27"/>
      <c r="BM30" s="27"/>
      <c r="BN30" s="27"/>
      <c r="BO30" s="27"/>
      <c r="BP30" s="27"/>
      <c r="BQ30" s="27"/>
      <c r="BR30" s="27">
        <v>8.99</v>
      </c>
      <c r="BS30" s="27">
        <v>1718096</v>
      </c>
    </row>
    <row r="31" spans="1:71" x14ac:dyDescent="0.25">
      <c r="A31" s="6" t="s">
        <v>172</v>
      </c>
      <c r="B31" s="27"/>
      <c r="C31" s="27"/>
      <c r="D31" s="27"/>
      <c r="E31" s="27"/>
      <c r="F31" s="27"/>
      <c r="G31" s="27"/>
      <c r="H31" s="27"/>
      <c r="I31" s="27"/>
      <c r="J31" s="27"/>
      <c r="K31" s="27"/>
      <c r="L31" s="27"/>
      <c r="M31" s="27"/>
      <c r="N31" s="27"/>
      <c r="O31" s="27"/>
      <c r="P31" s="27"/>
      <c r="Q31" s="27"/>
      <c r="R31" s="27"/>
      <c r="S31" s="27"/>
      <c r="T31" s="27"/>
      <c r="U31" s="27"/>
      <c r="V31" s="27"/>
      <c r="W31" s="27">
        <v>8.3800000000000008</v>
      </c>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v>1049204</v>
      </c>
      <c r="BF31" s="27"/>
      <c r="BG31" s="27"/>
      <c r="BH31" s="27"/>
      <c r="BI31" s="27"/>
      <c r="BJ31" s="27"/>
      <c r="BK31" s="27"/>
      <c r="BL31" s="27"/>
      <c r="BM31" s="27"/>
      <c r="BN31" s="27"/>
      <c r="BO31" s="27"/>
      <c r="BP31" s="27"/>
      <c r="BQ31" s="27"/>
      <c r="BR31" s="27">
        <v>8.3800000000000008</v>
      </c>
      <c r="BS31" s="27">
        <v>1049204</v>
      </c>
    </row>
    <row r="32" spans="1:71" x14ac:dyDescent="0.25">
      <c r="A32" s="6" t="s">
        <v>171</v>
      </c>
      <c r="B32" s="27"/>
      <c r="C32" s="27"/>
      <c r="D32" s="27"/>
      <c r="E32" s="27"/>
      <c r="F32" s="27"/>
      <c r="G32" s="27"/>
      <c r="H32" s="27"/>
      <c r="I32" s="27"/>
      <c r="J32" s="27"/>
      <c r="K32" s="27"/>
      <c r="L32" s="27">
        <v>8.93</v>
      </c>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v>2546211</v>
      </c>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v>8.93</v>
      </c>
      <c r="BS32" s="27">
        <v>2546211</v>
      </c>
    </row>
    <row r="33" spans="1:71" x14ac:dyDescent="0.25">
      <c r="A33" s="6" t="s">
        <v>170</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v>8.6999999999999993</v>
      </c>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v>3901401</v>
      </c>
      <c r="BJ33" s="27"/>
      <c r="BK33" s="27"/>
      <c r="BL33" s="27"/>
      <c r="BM33" s="27"/>
      <c r="BN33" s="27"/>
      <c r="BO33" s="27"/>
      <c r="BP33" s="27"/>
      <c r="BQ33" s="27"/>
      <c r="BR33" s="27">
        <v>8.6999999999999993</v>
      </c>
      <c r="BS33" s="27">
        <v>3901401</v>
      </c>
    </row>
    <row r="34" spans="1:71" x14ac:dyDescent="0.25">
      <c r="A34" s="6" t="s">
        <v>175</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v>8.59</v>
      </c>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v>868974</v>
      </c>
      <c r="BR34" s="27">
        <v>8.59</v>
      </c>
      <c r="BS34" s="27">
        <v>868974</v>
      </c>
    </row>
    <row r="35" spans="1:71" x14ac:dyDescent="0.25">
      <c r="A35" s="6" t="s">
        <v>176</v>
      </c>
      <c r="B35" s="27"/>
      <c r="C35" s="27"/>
      <c r="D35" s="27"/>
      <c r="E35" s="27"/>
      <c r="F35" s="27"/>
      <c r="G35" s="27"/>
      <c r="H35" s="27"/>
      <c r="I35" s="27"/>
      <c r="J35" s="27"/>
      <c r="K35" s="27"/>
      <c r="L35" s="27"/>
      <c r="M35" s="27"/>
      <c r="N35" s="27"/>
      <c r="O35" s="27">
        <v>8.8699999999999992</v>
      </c>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v>1043697</v>
      </c>
      <c r="AX35" s="27"/>
      <c r="AY35" s="27"/>
      <c r="AZ35" s="27"/>
      <c r="BA35" s="27"/>
      <c r="BB35" s="27"/>
      <c r="BC35" s="27"/>
      <c r="BD35" s="27"/>
      <c r="BE35" s="27"/>
      <c r="BF35" s="27"/>
      <c r="BG35" s="27"/>
      <c r="BH35" s="27"/>
      <c r="BI35" s="27"/>
      <c r="BJ35" s="27"/>
      <c r="BK35" s="27"/>
      <c r="BL35" s="27"/>
      <c r="BM35" s="27"/>
      <c r="BN35" s="27"/>
      <c r="BO35" s="27"/>
      <c r="BP35" s="27"/>
      <c r="BQ35" s="27"/>
      <c r="BR35" s="27">
        <v>8.8699999999999992</v>
      </c>
      <c r="BS35" s="27">
        <v>1043697</v>
      </c>
    </row>
    <row r="36" spans="1:71" x14ac:dyDescent="0.25">
      <c r="A36" s="6" t="s">
        <v>165</v>
      </c>
      <c r="B36" s="27"/>
      <c r="C36" s="27">
        <v>7.94</v>
      </c>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v>1143085</v>
      </c>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v>7.94</v>
      </c>
      <c r="BS36" s="27">
        <v>1143085</v>
      </c>
    </row>
    <row r="37" spans="1:71" x14ac:dyDescent="0.25">
      <c r="A37" s="6" t="s">
        <v>166</v>
      </c>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v>8.1</v>
      </c>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v>1024655</v>
      </c>
      <c r="BK37" s="27"/>
      <c r="BL37" s="27"/>
      <c r="BM37" s="27"/>
      <c r="BN37" s="27"/>
      <c r="BO37" s="27"/>
      <c r="BP37" s="27"/>
      <c r="BQ37" s="27"/>
      <c r="BR37" s="27">
        <v>8.1</v>
      </c>
      <c r="BS37" s="27">
        <v>1024655</v>
      </c>
    </row>
    <row r="38" spans="1:71" x14ac:dyDescent="0.25">
      <c r="A38" s="6" t="s">
        <v>190</v>
      </c>
      <c r="B38" s="27"/>
      <c r="C38" s="27"/>
      <c r="D38" s="27"/>
      <c r="E38" s="27"/>
      <c r="F38" s="27"/>
      <c r="G38" s="27"/>
      <c r="H38" s="27"/>
      <c r="I38" s="27"/>
      <c r="J38" s="27"/>
      <c r="K38" s="27"/>
      <c r="L38" s="27"/>
      <c r="M38" s="27"/>
      <c r="N38" s="27"/>
      <c r="O38" s="27"/>
      <c r="P38" s="27"/>
      <c r="Q38" s="27"/>
      <c r="R38" s="27"/>
      <c r="S38" s="27"/>
      <c r="T38" s="27"/>
      <c r="U38" s="27"/>
      <c r="V38" s="27"/>
      <c r="W38" s="27"/>
      <c r="X38" s="27">
        <v>7.81</v>
      </c>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v>60870</v>
      </c>
      <c r="BG38" s="27"/>
      <c r="BH38" s="27"/>
      <c r="BI38" s="27"/>
      <c r="BJ38" s="27"/>
      <c r="BK38" s="27"/>
      <c r="BL38" s="27"/>
      <c r="BM38" s="27"/>
      <c r="BN38" s="27"/>
      <c r="BO38" s="27"/>
      <c r="BP38" s="27"/>
      <c r="BQ38" s="27"/>
      <c r="BR38" s="27">
        <v>7.81</v>
      </c>
      <c r="BS38" s="27">
        <v>60870</v>
      </c>
    </row>
    <row r="39" spans="1:71" x14ac:dyDescent="0.25">
      <c r="A39" s="6" t="s">
        <v>177</v>
      </c>
      <c r="B39" s="27"/>
      <c r="C39" s="27"/>
      <c r="D39" s="27"/>
      <c r="E39" s="27"/>
      <c r="F39" s="27"/>
      <c r="G39" s="27"/>
      <c r="H39" s="27"/>
      <c r="I39" s="27"/>
      <c r="J39" s="27"/>
      <c r="K39" s="27"/>
      <c r="L39" s="27"/>
      <c r="M39" s="27"/>
      <c r="N39" s="27"/>
      <c r="O39" s="27"/>
      <c r="P39" s="27"/>
      <c r="Q39" s="27"/>
      <c r="R39" s="27"/>
      <c r="S39" s="27"/>
      <c r="T39" s="27"/>
      <c r="U39" s="27"/>
      <c r="V39" s="27">
        <v>8.36</v>
      </c>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v>5210406</v>
      </c>
      <c r="BE39" s="27"/>
      <c r="BF39" s="27"/>
      <c r="BG39" s="27"/>
      <c r="BH39" s="27"/>
      <c r="BI39" s="27"/>
      <c r="BJ39" s="27"/>
      <c r="BK39" s="27"/>
      <c r="BL39" s="27"/>
      <c r="BM39" s="27"/>
      <c r="BN39" s="27"/>
      <c r="BO39" s="27"/>
      <c r="BP39" s="27"/>
      <c r="BQ39" s="27"/>
      <c r="BR39" s="27">
        <v>8.36</v>
      </c>
      <c r="BS39" s="27">
        <v>5210406</v>
      </c>
    </row>
    <row r="40" spans="1:71" x14ac:dyDescent="0.25">
      <c r="A40" s="6" t="s">
        <v>178</v>
      </c>
      <c r="B40" s="27"/>
      <c r="C40" s="27"/>
      <c r="D40" s="27"/>
      <c r="E40" s="27"/>
      <c r="F40" s="27"/>
      <c r="G40" s="27"/>
      <c r="H40" s="27"/>
      <c r="I40" s="27"/>
      <c r="J40" s="27"/>
      <c r="K40" s="27"/>
      <c r="L40" s="27"/>
      <c r="M40" s="27"/>
      <c r="N40" s="27"/>
      <c r="O40" s="27"/>
      <c r="P40" s="27"/>
      <c r="Q40" s="27"/>
      <c r="R40" s="27"/>
      <c r="S40" s="27"/>
      <c r="T40" s="27"/>
      <c r="U40" s="27"/>
      <c r="V40" s="27"/>
      <c r="W40" s="27">
        <v>8.33</v>
      </c>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v>2264679</v>
      </c>
      <c r="BF40" s="27"/>
      <c r="BG40" s="27"/>
      <c r="BH40" s="27"/>
      <c r="BI40" s="27"/>
      <c r="BJ40" s="27"/>
      <c r="BK40" s="27"/>
      <c r="BL40" s="27"/>
      <c r="BM40" s="27"/>
      <c r="BN40" s="27"/>
      <c r="BO40" s="27"/>
      <c r="BP40" s="27"/>
      <c r="BQ40" s="27"/>
      <c r="BR40" s="27">
        <v>8.33</v>
      </c>
      <c r="BS40" s="27">
        <v>2264679</v>
      </c>
    </row>
    <row r="41" spans="1:71" x14ac:dyDescent="0.25">
      <c r="A41" s="6" t="s">
        <v>179</v>
      </c>
      <c r="B41" s="27"/>
      <c r="C41" s="27"/>
      <c r="D41" s="27"/>
      <c r="E41" s="27"/>
      <c r="F41" s="27"/>
      <c r="G41" s="27"/>
      <c r="H41" s="27"/>
      <c r="I41" s="27"/>
      <c r="J41" s="27"/>
      <c r="K41" s="27"/>
      <c r="L41" s="27"/>
      <c r="M41" s="27"/>
      <c r="N41" s="27"/>
      <c r="O41" s="27"/>
      <c r="P41" s="27"/>
      <c r="Q41" s="27"/>
      <c r="R41" s="27"/>
      <c r="S41" s="27"/>
      <c r="T41" s="27"/>
      <c r="U41" s="27"/>
      <c r="V41" s="27"/>
      <c r="W41" s="27"/>
      <c r="X41" s="27"/>
      <c r="Y41" s="27"/>
      <c r="Z41" s="27">
        <v>8.75</v>
      </c>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v>1798685</v>
      </c>
      <c r="BI41" s="27"/>
      <c r="BJ41" s="27"/>
      <c r="BK41" s="27"/>
      <c r="BL41" s="27"/>
      <c r="BM41" s="27"/>
      <c r="BN41" s="27"/>
      <c r="BO41" s="27"/>
      <c r="BP41" s="27"/>
      <c r="BQ41" s="27"/>
      <c r="BR41" s="27">
        <v>8.75</v>
      </c>
      <c r="BS41" s="27">
        <v>1798685</v>
      </c>
    </row>
    <row r="42" spans="1:71" x14ac:dyDescent="0.25">
      <c r="A42" s="6" t="s">
        <v>180</v>
      </c>
      <c r="B42" s="27"/>
      <c r="C42" s="27"/>
      <c r="D42" s="27"/>
      <c r="E42" s="27"/>
      <c r="F42" s="27"/>
      <c r="G42" s="27"/>
      <c r="H42" s="27"/>
      <c r="I42" s="27"/>
      <c r="J42" s="27"/>
      <c r="K42" s="27"/>
      <c r="L42" s="27"/>
      <c r="M42" s="27"/>
      <c r="N42" s="27"/>
      <c r="O42" s="27"/>
      <c r="P42" s="27"/>
      <c r="Q42" s="27"/>
      <c r="R42" s="27"/>
      <c r="S42" s="27"/>
      <c r="T42" s="27">
        <v>9</v>
      </c>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v>477345</v>
      </c>
      <c r="BC42" s="27"/>
      <c r="BD42" s="27"/>
      <c r="BE42" s="27"/>
      <c r="BF42" s="27"/>
      <c r="BG42" s="27"/>
      <c r="BH42" s="27"/>
      <c r="BI42" s="27"/>
      <c r="BJ42" s="27"/>
      <c r="BK42" s="27"/>
      <c r="BL42" s="27"/>
      <c r="BM42" s="27"/>
      <c r="BN42" s="27"/>
      <c r="BO42" s="27"/>
      <c r="BP42" s="27"/>
      <c r="BQ42" s="27"/>
      <c r="BR42" s="27">
        <v>9</v>
      </c>
      <c r="BS42" s="27">
        <v>477345</v>
      </c>
    </row>
    <row r="43" spans="1:71" x14ac:dyDescent="0.25">
      <c r="A43" s="6" t="s">
        <v>181</v>
      </c>
      <c r="B43" s="27"/>
      <c r="C43" s="27"/>
      <c r="D43" s="27"/>
      <c r="E43" s="27">
        <v>8.34</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v>10835267</v>
      </c>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v>8.34</v>
      </c>
      <c r="BS43" s="27">
        <v>10835267</v>
      </c>
    </row>
    <row r="44" spans="1:71" x14ac:dyDescent="0.25">
      <c r="A44" s="6" t="s">
        <v>182</v>
      </c>
      <c r="B44" s="27"/>
      <c r="C44" s="27"/>
      <c r="D44" s="27"/>
      <c r="E44" s="27"/>
      <c r="F44" s="27"/>
      <c r="G44" s="27"/>
      <c r="H44" s="27"/>
      <c r="I44" s="27"/>
      <c r="J44" s="27"/>
      <c r="K44" s="27"/>
      <c r="L44" s="27"/>
      <c r="M44" s="27">
        <v>7.6559999999999997</v>
      </c>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v>1185383</v>
      </c>
      <c r="AV44" s="27"/>
      <c r="AW44" s="27"/>
      <c r="AX44" s="27"/>
      <c r="AY44" s="27"/>
      <c r="AZ44" s="27"/>
      <c r="BA44" s="27"/>
      <c r="BB44" s="27"/>
      <c r="BC44" s="27"/>
      <c r="BD44" s="27"/>
      <c r="BE44" s="27"/>
      <c r="BF44" s="27"/>
      <c r="BG44" s="27"/>
      <c r="BH44" s="27"/>
      <c r="BI44" s="27"/>
      <c r="BJ44" s="27"/>
      <c r="BK44" s="27"/>
      <c r="BL44" s="27"/>
      <c r="BM44" s="27"/>
      <c r="BN44" s="27"/>
      <c r="BO44" s="27"/>
      <c r="BP44" s="27"/>
      <c r="BQ44" s="27"/>
      <c r="BR44" s="27">
        <v>7.6559999999999997</v>
      </c>
      <c r="BS44" s="27">
        <v>1185383</v>
      </c>
    </row>
    <row r="45" spans="1:71" x14ac:dyDescent="0.25">
      <c r="A45" s="6" t="s">
        <v>183</v>
      </c>
      <c r="B45" s="27"/>
      <c r="C45" s="27"/>
      <c r="D45" s="27"/>
      <c r="E45" s="27"/>
      <c r="F45" s="27"/>
      <c r="G45" s="27"/>
      <c r="H45" s="27"/>
      <c r="I45" s="27">
        <v>8.6</v>
      </c>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v>420950</v>
      </c>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v>8.6</v>
      </c>
      <c r="BS45" s="27">
        <v>420950</v>
      </c>
    </row>
    <row r="46" spans="1:71" x14ac:dyDescent="0.25">
      <c r="A46" s="6" t="s">
        <v>189</v>
      </c>
      <c r="B46" s="27"/>
      <c r="C46" s="27"/>
      <c r="D46" s="27"/>
      <c r="E46" s="27"/>
      <c r="F46" s="27"/>
      <c r="G46" s="27"/>
      <c r="H46" s="27"/>
      <c r="I46" s="27"/>
      <c r="J46" s="27"/>
      <c r="K46" s="27"/>
      <c r="L46" s="27"/>
      <c r="M46" s="27">
        <v>7.76</v>
      </c>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v>484059</v>
      </c>
      <c r="AV46" s="27"/>
      <c r="AW46" s="27"/>
      <c r="AX46" s="27"/>
      <c r="AY46" s="27"/>
      <c r="AZ46" s="27"/>
      <c r="BA46" s="27"/>
      <c r="BB46" s="27"/>
      <c r="BC46" s="27"/>
      <c r="BD46" s="27"/>
      <c r="BE46" s="27"/>
      <c r="BF46" s="27"/>
      <c r="BG46" s="27"/>
      <c r="BH46" s="27"/>
      <c r="BI46" s="27"/>
      <c r="BJ46" s="27"/>
      <c r="BK46" s="27"/>
      <c r="BL46" s="27"/>
      <c r="BM46" s="27"/>
      <c r="BN46" s="27"/>
      <c r="BO46" s="27"/>
      <c r="BP46" s="27"/>
      <c r="BQ46" s="27"/>
      <c r="BR46" s="27">
        <v>7.76</v>
      </c>
      <c r="BS46" s="27">
        <v>484059</v>
      </c>
    </row>
    <row r="47" spans="1:71" x14ac:dyDescent="0.25">
      <c r="A47" s="6" t="s">
        <v>188</v>
      </c>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v>8.0500000000000007</v>
      </c>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v>38648</v>
      </c>
      <c r="BN47" s="27"/>
      <c r="BO47" s="27"/>
      <c r="BP47" s="27"/>
      <c r="BQ47" s="27"/>
      <c r="BR47" s="27">
        <v>8.0500000000000007</v>
      </c>
      <c r="BS47" s="27">
        <v>38648</v>
      </c>
    </row>
    <row r="48" spans="1:71" x14ac:dyDescent="0.25">
      <c r="A48" s="6" t="s">
        <v>187</v>
      </c>
      <c r="B48" s="27"/>
      <c r="C48" s="27"/>
      <c r="D48" s="27"/>
      <c r="E48" s="27"/>
      <c r="F48" s="27"/>
      <c r="G48" s="27"/>
      <c r="H48" s="27">
        <v>7.76</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v>2008234</v>
      </c>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v>7.76</v>
      </c>
      <c r="BS48" s="27">
        <v>2008234</v>
      </c>
    </row>
    <row r="49" spans="1:71" x14ac:dyDescent="0.25">
      <c r="A49" s="6" t="s">
        <v>186</v>
      </c>
      <c r="B49" s="27"/>
      <c r="C49" s="27"/>
      <c r="D49" s="27"/>
      <c r="E49" s="27"/>
      <c r="F49" s="27"/>
      <c r="G49" s="27">
        <v>8.1950000000000003</v>
      </c>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v>1514063</v>
      </c>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v>8.1950000000000003</v>
      </c>
      <c r="BS49" s="27">
        <v>1514063</v>
      </c>
    </row>
    <row r="50" spans="1:71" x14ac:dyDescent="0.25">
      <c r="A50" s="6" t="s">
        <v>184</v>
      </c>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v>7.62</v>
      </c>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v>2061201</v>
      </c>
      <c r="BQ50" s="27"/>
      <c r="BR50" s="27">
        <v>7.62</v>
      </c>
      <c r="BS50" s="27">
        <v>2061201</v>
      </c>
    </row>
    <row r="51" spans="1:71" x14ac:dyDescent="0.25">
      <c r="A51" s="6" t="s">
        <v>185</v>
      </c>
      <c r="B51" s="27"/>
      <c r="C51" s="27"/>
      <c r="D51" s="27"/>
      <c r="E51" s="27">
        <v>8.1999999999999993</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v>756621</v>
      </c>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v>8.1999999999999993</v>
      </c>
      <c r="BS51" s="27">
        <v>756621</v>
      </c>
    </row>
    <row r="52" spans="1:71" x14ac:dyDescent="0.25">
      <c r="A52" s="6" t="s">
        <v>169</v>
      </c>
      <c r="B52" s="27">
        <v>8.32</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v>592901</v>
      </c>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v>8.32</v>
      </c>
      <c r="BS52" s="27">
        <v>592901</v>
      </c>
    </row>
    <row r="53" spans="1:71" x14ac:dyDescent="0.25">
      <c r="A53" s="6" t="s">
        <v>193</v>
      </c>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v>8.5</v>
      </c>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v>5529454</v>
      </c>
      <c r="BO53" s="27"/>
      <c r="BP53" s="27"/>
      <c r="BQ53" s="27"/>
      <c r="BR53" s="27">
        <v>8.5</v>
      </c>
      <c r="BS53" s="27">
        <v>5529454</v>
      </c>
    </row>
    <row r="54" spans="1:71" x14ac:dyDescent="0.25">
      <c r="A54" s="6" t="s">
        <v>192</v>
      </c>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v>8.7799999999999994</v>
      </c>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v>1906217</v>
      </c>
      <c r="BQ54" s="27"/>
      <c r="BR54" s="27">
        <v>8.7799999999999994</v>
      </c>
      <c r="BS54" s="27">
        <v>1906217</v>
      </c>
    </row>
    <row r="55" spans="1:71" x14ac:dyDescent="0.25">
      <c r="A55" s="6" t="s">
        <v>191</v>
      </c>
      <c r="B55" s="27"/>
      <c r="C55" s="27"/>
      <c r="D55" s="27"/>
      <c r="E55" s="27"/>
      <c r="F55" s="27"/>
      <c r="G55" s="27"/>
      <c r="H55" s="27"/>
      <c r="I55" s="27"/>
      <c r="J55" s="27"/>
      <c r="K55" s="27"/>
      <c r="L55" s="27"/>
      <c r="M55" s="27"/>
      <c r="N55" s="27"/>
      <c r="O55" s="27"/>
      <c r="P55" s="27"/>
      <c r="Q55" s="27"/>
      <c r="R55" s="27">
        <v>8.7249999999999996</v>
      </c>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v>2899568</v>
      </c>
      <c r="BA55" s="27"/>
      <c r="BB55" s="27"/>
      <c r="BC55" s="27"/>
      <c r="BD55" s="27"/>
      <c r="BE55" s="27"/>
      <c r="BF55" s="27"/>
      <c r="BG55" s="27"/>
      <c r="BH55" s="27"/>
      <c r="BI55" s="27"/>
      <c r="BJ55" s="27"/>
      <c r="BK55" s="27"/>
      <c r="BL55" s="27"/>
      <c r="BM55" s="27"/>
      <c r="BN55" s="27"/>
      <c r="BO55" s="27"/>
      <c r="BP55" s="27"/>
      <c r="BQ55" s="27"/>
      <c r="BR55" s="27">
        <v>8.7249999999999996</v>
      </c>
      <c r="BS55" s="27">
        <v>2899568</v>
      </c>
    </row>
    <row r="56" spans="1:71" x14ac:dyDescent="0.25">
      <c r="A56" s="6" t="s">
        <v>148</v>
      </c>
      <c r="B56" s="27">
        <v>8.32</v>
      </c>
      <c r="C56" s="27">
        <v>24.040000000000003</v>
      </c>
      <c r="D56" s="27">
        <v>8.9</v>
      </c>
      <c r="E56" s="27">
        <v>33.129999999999995</v>
      </c>
      <c r="F56" s="27">
        <v>8.2899999999999991</v>
      </c>
      <c r="G56" s="27">
        <v>15.725000000000001</v>
      </c>
      <c r="H56" s="27">
        <v>7.76</v>
      </c>
      <c r="I56" s="27">
        <v>8.6</v>
      </c>
      <c r="J56" s="27">
        <v>16.25</v>
      </c>
      <c r="K56" s="27">
        <v>8.65</v>
      </c>
      <c r="L56" s="27">
        <v>8.93</v>
      </c>
      <c r="M56" s="27">
        <v>15.416</v>
      </c>
      <c r="N56" s="27">
        <v>7.835</v>
      </c>
      <c r="O56" s="27">
        <v>8.8699999999999992</v>
      </c>
      <c r="P56" s="27">
        <v>17.04</v>
      </c>
      <c r="Q56" s="27">
        <v>8.6199999999999992</v>
      </c>
      <c r="R56" s="27">
        <v>8.7249999999999996</v>
      </c>
      <c r="S56" s="27">
        <v>8.15</v>
      </c>
      <c r="T56" s="27">
        <v>25.200000000000003</v>
      </c>
      <c r="U56" s="27">
        <v>8.1750000000000007</v>
      </c>
      <c r="V56" s="27">
        <v>8.36</v>
      </c>
      <c r="W56" s="27">
        <v>16.71</v>
      </c>
      <c r="X56" s="27">
        <v>7.81</v>
      </c>
      <c r="Y56" s="27">
        <v>8.125</v>
      </c>
      <c r="Z56" s="27">
        <v>8.75</v>
      </c>
      <c r="AA56" s="27">
        <v>8.6999999999999993</v>
      </c>
      <c r="AB56" s="27">
        <v>8.1</v>
      </c>
      <c r="AC56" s="27">
        <v>8.99</v>
      </c>
      <c r="AD56" s="27">
        <v>16.43</v>
      </c>
      <c r="AE56" s="27">
        <v>8.0500000000000007</v>
      </c>
      <c r="AF56" s="27">
        <v>8.5</v>
      </c>
      <c r="AG56" s="27">
        <v>9.07</v>
      </c>
      <c r="AH56" s="27">
        <v>24.9</v>
      </c>
      <c r="AI56" s="27">
        <v>8.59</v>
      </c>
      <c r="AJ56" s="27">
        <v>592901</v>
      </c>
      <c r="AK56" s="27">
        <v>7039879</v>
      </c>
      <c r="AL56" s="27">
        <v>3190132</v>
      </c>
      <c r="AM56" s="27">
        <v>20305652</v>
      </c>
      <c r="AN56" s="27">
        <v>3326174</v>
      </c>
      <c r="AO56" s="27">
        <v>1928410</v>
      </c>
      <c r="AP56" s="27">
        <v>2008234</v>
      </c>
      <c r="AQ56" s="27">
        <v>420950</v>
      </c>
      <c r="AR56" s="27">
        <v>5980690</v>
      </c>
      <c r="AS56" s="27">
        <v>1723257</v>
      </c>
      <c r="AT56" s="27">
        <v>2546211</v>
      </c>
      <c r="AU56" s="27">
        <v>1669442</v>
      </c>
      <c r="AV56" s="27">
        <v>1494644</v>
      </c>
      <c r="AW56" s="27">
        <v>1043697</v>
      </c>
      <c r="AX56" s="27">
        <v>7429057</v>
      </c>
      <c r="AY56" s="27">
        <v>3766726</v>
      </c>
      <c r="AZ56" s="27">
        <v>2899568</v>
      </c>
      <c r="BA56" s="27">
        <v>229007</v>
      </c>
      <c r="BB56" s="27">
        <v>3671061</v>
      </c>
      <c r="BC56" s="27">
        <v>459102</v>
      </c>
      <c r="BD56" s="27">
        <v>5210406</v>
      </c>
      <c r="BE56" s="27">
        <v>3313883</v>
      </c>
      <c r="BF56" s="27">
        <v>60870</v>
      </c>
      <c r="BG56" s="27">
        <v>5148282</v>
      </c>
      <c r="BH56" s="27">
        <v>1798685</v>
      </c>
      <c r="BI56" s="27">
        <v>3901401</v>
      </c>
      <c r="BJ56" s="27">
        <v>1024655</v>
      </c>
      <c r="BK56" s="27">
        <v>1718096</v>
      </c>
      <c r="BL56" s="27">
        <v>3011034</v>
      </c>
      <c r="BM56" s="27">
        <v>38648</v>
      </c>
      <c r="BN56" s="27">
        <v>5529454</v>
      </c>
      <c r="BO56" s="27">
        <v>3318180</v>
      </c>
      <c r="BP56" s="27">
        <v>13031088</v>
      </c>
      <c r="BQ56" s="27">
        <v>868974</v>
      </c>
      <c r="BR56" s="27">
        <v>407.71100000000001</v>
      </c>
      <c r="BS56" s="27">
        <v>119698450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5C95-2AAE-4CCD-B6B9-24C83A7FC03B}">
  <dimension ref="A3:C53"/>
  <sheetViews>
    <sheetView zoomScale="73" workbookViewId="0">
      <selection activeCell="U18" sqref="U18"/>
    </sheetView>
  </sheetViews>
  <sheetFormatPr defaultRowHeight="15" x14ac:dyDescent="0.25"/>
  <cols>
    <col min="1" max="1" width="33.42578125" bestFit="1" customWidth="1"/>
    <col min="2" max="2" width="17.140625" bestFit="1" customWidth="1"/>
    <col min="3" max="3" width="12.85546875" bestFit="1" customWidth="1"/>
    <col min="4" max="4" width="12.7109375" bestFit="1" customWidth="1"/>
    <col min="5" max="10" width="8" bestFit="1" customWidth="1"/>
    <col min="11" max="11" width="6" bestFit="1" customWidth="1"/>
    <col min="12" max="12" width="9" bestFit="1" customWidth="1"/>
    <col min="13" max="20" width="8" bestFit="1" customWidth="1"/>
    <col min="21" max="22" width="9" bestFit="1" customWidth="1"/>
    <col min="23" max="24" width="8" bestFit="1" customWidth="1"/>
    <col min="25" max="25" width="9" bestFit="1" customWidth="1"/>
    <col min="26" max="28" width="8" bestFit="1" customWidth="1"/>
    <col min="29" max="29" width="7" bestFit="1" customWidth="1"/>
    <col min="30" max="30" width="12.7109375" bestFit="1" customWidth="1"/>
    <col min="31" max="57" width="5" bestFit="1" customWidth="1"/>
    <col min="58" max="58" width="21.85546875" bestFit="1" customWidth="1"/>
    <col min="59" max="59" width="17.85546875" bestFit="1" customWidth="1"/>
    <col min="60" max="60" width="14" bestFit="1" customWidth="1"/>
    <col min="61" max="61" width="10.7109375" bestFit="1" customWidth="1"/>
    <col min="62" max="62" width="11.7109375" bestFit="1" customWidth="1"/>
    <col min="63" max="63" width="7.140625" bestFit="1" customWidth="1"/>
    <col min="64" max="64" width="10" bestFit="1" customWidth="1"/>
    <col min="65" max="65" width="13.85546875" bestFit="1" customWidth="1"/>
    <col min="66" max="66" width="11.7109375" bestFit="1" customWidth="1"/>
    <col min="67" max="67" width="11.140625" bestFit="1" customWidth="1"/>
    <col min="68" max="68" width="24" bestFit="1" customWidth="1"/>
    <col min="69" max="69" width="16.140625" bestFit="1" customWidth="1"/>
    <col min="70" max="70" width="17.5703125" bestFit="1" customWidth="1"/>
    <col min="71" max="71" width="15.42578125" bestFit="1" customWidth="1"/>
    <col min="72" max="72" width="12.5703125" bestFit="1" customWidth="1"/>
    <col min="73" max="73" width="16.5703125" bestFit="1" customWidth="1"/>
    <col min="74" max="74" width="12.28515625" bestFit="1" customWidth="1"/>
    <col min="75" max="75" width="13.140625" bestFit="1" customWidth="1"/>
    <col min="76" max="76" width="8.140625" bestFit="1" customWidth="1"/>
    <col min="77" max="77" width="11.28515625" bestFit="1" customWidth="1"/>
    <col min="78" max="78" width="12" bestFit="1" customWidth="1"/>
    <col min="79" max="80" width="8.5703125" bestFit="1" customWidth="1"/>
    <col min="81" max="81" width="14" bestFit="1" customWidth="1"/>
    <col min="82" max="82" width="10.28515625" bestFit="1" customWidth="1"/>
    <col min="83" max="83" width="8.140625" bestFit="1" customWidth="1"/>
    <col min="84" max="84" width="11.28515625" bestFit="1" customWidth="1"/>
    <col min="85" max="85" width="14.42578125" bestFit="1" customWidth="1"/>
    <col min="86" max="86" width="8.85546875" bestFit="1" customWidth="1"/>
    <col min="87" max="87" width="18" bestFit="1" customWidth="1"/>
    <col min="88" max="88" width="7.7109375" bestFit="1" customWidth="1"/>
    <col min="89" max="89" width="32.5703125" bestFit="1" customWidth="1"/>
    <col min="90" max="90" width="15.7109375" bestFit="1" customWidth="1"/>
    <col min="91" max="91" width="10.85546875" bestFit="1" customWidth="1"/>
    <col min="92" max="92" width="9.7109375" bestFit="1" customWidth="1"/>
    <col min="93" max="93" width="9" bestFit="1" customWidth="1"/>
    <col min="94" max="94" width="17" bestFit="1" customWidth="1"/>
    <col min="95" max="95" width="18.42578125" bestFit="1" customWidth="1"/>
    <col min="96" max="96" width="9.28515625" bestFit="1" customWidth="1"/>
    <col min="97" max="97" width="13.85546875" bestFit="1" customWidth="1"/>
    <col min="98" max="98" width="12.28515625" bestFit="1" customWidth="1"/>
    <col min="99" max="99" width="13.7109375" bestFit="1" customWidth="1"/>
    <col min="100" max="100" width="21.85546875" bestFit="1" customWidth="1"/>
    <col min="101" max="101" width="17.85546875" bestFit="1" customWidth="1"/>
  </cols>
  <sheetData>
    <row r="3" spans="1:3" x14ac:dyDescent="0.25">
      <c r="A3" s="16" t="s">
        <v>147</v>
      </c>
      <c r="B3" t="s">
        <v>154</v>
      </c>
      <c r="C3" t="s">
        <v>161</v>
      </c>
    </row>
    <row r="4" spans="1:3" x14ac:dyDescent="0.25">
      <c r="A4" s="6" t="s">
        <v>30</v>
      </c>
      <c r="B4" s="27">
        <v>3326174</v>
      </c>
      <c r="C4" s="27">
        <v>307</v>
      </c>
    </row>
    <row r="5" spans="1:3" x14ac:dyDescent="0.25">
      <c r="A5" s="6" t="s">
        <v>33</v>
      </c>
      <c r="B5" s="27">
        <v>2096752</v>
      </c>
      <c r="C5" s="27">
        <v>2358</v>
      </c>
    </row>
    <row r="6" spans="1:3" x14ac:dyDescent="0.25">
      <c r="A6" s="6" t="s">
        <v>14</v>
      </c>
      <c r="B6" s="27">
        <v>2366714</v>
      </c>
      <c r="C6" s="27">
        <v>685</v>
      </c>
    </row>
    <row r="7" spans="1:3" x14ac:dyDescent="0.25">
      <c r="A7" s="6" t="s">
        <v>116</v>
      </c>
      <c r="B7" s="27">
        <v>229007</v>
      </c>
      <c r="C7" s="27">
        <v>413</v>
      </c>
    </row>
    <row r="8" spans="1:3" x14ac:dyDescent="0.25">
      <c r="A8" s="6" t="s">
        <v>63</v>
      </c>
      <c r="B8" s="27">
        <v>3766726</v>
      </c>
      <c r="C8" s="27">
        <v>75</v>
      </c>
    </row>
    <row r="9" spans="1:3" x14ac:dyDescent="0.25">
      <c r="A9" s="6" t="s">
        <v>127</v>
      </c>
      <c r="B9" s="27">
        <v>4764750</v>
      </c>
      <c r="C9" s="27">
        <v>774</v>
      </c>
    </row>
    <row r="10" spans="1:3" x14ac:dyDescent="0.25">
      <c r="A10" s="6" t="s">
        <v>10</v>
      </c>
      <c r="B10" s="27">
        <v>4660534</v>
      </c>
      <c r="C10" s="27">
        <v>452</v>
      </c>
    </row>
    <row r="11" spans="1:3" x14ac:dyDescent="0.25">
      <c r="A11" s="6" t="s">
        <v>1</v>
      </c>
      <c r="B11" s="27">
        <v>3190132</v>
      </c>
      <c r="C11" s="27">
        <v>29</v>
      </c>
    </row>
    <row r="12" spans="1:3" x14ac:dyDescent="0.25">
      <c r="A12" s="6" t="s">
        <v>51</v>
      </c>
      <c r="B12" s="27">
        <v>459102</v>
      </c>
      <c r="C12" s="27">
        <v>427</v>
      </c>
    </row>
    <row r="13" spans="1:3" x14ac:dyDescent="0.25">
      <c r="A13" s="6" t="s">
        <v>113</v>
      </c>
      <c r="B13" s="27">
        <v>1723257</v>
      </c>
      <c r="C13" s="27">
        <v>67</v>
      </c>
    </row>
    <row r="14" spans="1:3" x14ac:dyDescent="0.25">
      <c r="A14" s="6" t="s">
        <v>110</v>
      </c>
      <c r="B14" s="27">
        <v>1215940</v>
      </c>
      <c r="C14" s="27">
        <v>586</v>
      </c>
    </row>
    <row r="15" spans="1:3" x14ac:dyDescent="0.25">
      <c r="A15" s="6" t="s">
        <v>76</v>
      </c>
      <c r="B15" s="27">
        <v>4053230</v>
      </c>
      <c r="C15" s="27">
        <v>71</v>
      </c>
    </row>
    <row r="16" spans="1:3" x14ac:dyDescent="0.25">
      <c r="A16" s="6" t="s">
        <v>115</v>
      </c>
      <c r="B16" s="27">
        <v>5148282</v>
      </c>
      <c r="C16" s="27">
        <v>449</v>
      </c>
    </row>
    <row r="17" spans="1:3" x14ac:dyDescent="0.25">
      <c r="A17" s="6" t="s">
        <v>41</v>
      </c>
      <c r="B17" s="27">
        <v>2226178</v>
      </c>
      <c r="C17" s="27">
        <v>55</v>
      </c>
    </row>
    <row r="18" spans="1:3" x14ac:dyDescent="0.25">
      <c r="A18" s="6" t="s">
        <v>114</v>
      </c>
      <c r="B18" s="27">
        <v>4724772</v>
      </c>
      <c r="C18" s="27">
        <v>950</v>
      </c>
    </row>
    <row r="19" spans="1:3" x14ac:dyDescent="0.25">
      <c r="A19" s="6" t="s">
        <v>57</v>
      </c>
      <c r="B19" s="27">
        <v>784856</v>
      </c>
      <c r="C19" s="27">
        <v>1070</v>
      </c>
    </row>
    <row r="20" spans="1:3" x14ac:dyDescent="0.25">
      <c r="A20" s="6" t="s">
        <v>12</v>
      </c>
      <c r="B20" s="27">
        <v>3318180</v>
      </c>
      <c r="C20" s="27">
        <v>2</v>
      </c>
    </row>
    <row r="21" spans="1:3" x14ac:dyDescent="0.25">
      <c r="A21" s="6" t="s">
        <v>111</v>
      </c>
      <c r="B21" s="27">
        <v>414347</v>
      </c>
      <c r="C21" s="27">
        <v>1660</v>
      </c>
    </row>
    <row r="22" spans="1:3" x14ac:dyDescent="0.25">
      <c r="A22" s="6" t="s">
        <v>112</v>
      </c>
      <c r="B22" s="27">
        <v>1494644</v>
      </c>
      <c r="C22" s="27">
        <v>909</v>
      </c>
    </row>
    <row r="23" spans="1:3" x14ac:dyDescent="0.25">
      <c r="A23" s="6" t="s">
        <v>167</v>
      </c>
      <c r="B23" s="27">
        <v>9063670</v>
      </c>
      <c r="C23" s="27">
        <v>58</v>
      </c>
    </row>
    <row r="24" spans="1:3" x14ac:dyDescent="0.25">
      <c r="A24" s="6" t="s">
        <v>168</v>
      </c>
      <c r="B24" s="27">
        <v>2704285</v>
      </c>
      <c r="C24" s="27">
        <v>8</v>
      </c>
    </row>
    <row r="25" spans="1:3" x14ac:dyDescent="0.25">
      <c r="A25" s="6" t="s">
        <v>174</v>
      </c>
      <c r="B25" s="27">
        <v>3800042</v>
      </c>
      <c r="C25" s="27">
        <v>84</v>
      </c>
    </row>
    <row r="26" spans="1:3" x14ac:dyDescent="0.25">
      <c r="A26" s="6" t="s">
        <v>164</v>
      </c>
      <c r="B26" s="27">
        <v>827002</v>
      </c>
      <c r="C26" s="27">
        <v>558</v>
      </c>
    </row>
    <row r="27" spans="1:3" x14ac:dyDescent="0.25">
      <c r="A27" s="6" t="s">
        <v>173</v>
      </c>
      <c r="B27" s="27">
        <v>1718096</v>
      </c>
      <c r="C27" s="27">
        <v>144</v>
      </c>
    </row>
    <row r="28" spans="1:3" x14ac:dyDescent="0.25">
      <c r="A28" s="6" t="s">
        <v>172</v>
      </c>
      <c r="B28" s="27">
        <v>1049204</v>
      </c>
      <c r="C28" s="27">
        <v>101</v>
      </c>
    </row>
    <row r="29" spans="1:3" x14ac:dyDescent="0.25">
      <c r="A29" s="6" t="s">
        <v>171</v>
      </c>
      <c r="B29" s="27">
        <v>2546211</v>
      </c>
      <c r="C29" s="27">
        <v>308</v>
      </c>
    </row>
    <row r="30" spans="1:3" x14ac:dyDescent="0.25">
      <c r="A30" s="6" t="s">
        <v>170</v>
      </c>
      <c r="B30" s="27">
        <v>3901401</v>
      </c>
      <c r="C30" s="27">
        <v>37</v>
      </c>
    </row>
    <row r="31" spans="1:3" x14ac:dyDescent="0.25">
      <c r="A31" s="6" t="s">
        <v>175</v>
      </c>
      <c r="B31" s="27">
        <v>868974</v>
      </c>
      <c r="C31" s="27">
        <v>169</v>
      </c>
    </row>
    <row r="32" spans="1:3" x14ac:dyDescent="0.25">
      <c r="A32" s="6" t="s">
        <v>176</v>
      </c>
      <c r="B32" s="27">
        <v>1043697</v>
      </c>
      <c r="C32" s="27">
        <v>25</v>
      </c>
    </row>
    <row r="33" spans="1:3" x14ac:dyDescent="0.25">
      <c r="A33" s="6" t="s">
        <v>165</v>
      </c>
      <c r="B33" s="27">
        <v>1143085</v>
      </c>
      <c r="C33" s="27">
        <v>682</v>
      </c>
    </row>
    <row r="34" spans="1:3" x14ac:dyDescent="0.25">
      <c r="A34" s="6" t="s">
        <v>166</v>
      </c>
      <c r="B34" s="27">
        <v>1024655</v>
      </c>
      <c r="C34" s="27">
        <v>399</v>
      </c>
    </row>
    <row r="35" spans="1:3" x14ac:dyDescent="0.25">
      <c r="A35" s="6" t="s">
        <v>190</v>
      </c>
      <c r="B35" s="27">
        <v>60870</v>
      </c>
      <c r="C35" s="27">
        <v>910</v>
      </c>
    </row>
    <row r="36" spans="1:3" x14ac:dyDescent="0.25">
      <c r="A36" s="6" t="s">
        <v>177</v>
      </c>
      <c r="B36" s="27">
        <v>5210406</v>
      </c>
      <c r="C36" s="27">
        <v>153</v>
      </c>
    </row>
    <row r="37" spans="1:3" x14ac:dyDescent="0.25">
      <c r="A37" s="6" t="s">
        <v>178</v>
      </c>
      <c r="B37" s="27">
        <v>2264679</v>
      </c>
      <c r="C37" s="27">
        <v>1498</v>
      </c>
    </row>
    <row r="38" spans="1:3" x14ac:dyDescent="0.25">
      <c r="A38" s="6" t="s">
        <v>179</v>
      </c>
      <c r="B38" s="27">
        <v>1798685</v>
      </c>
      <c r="C38" s="27">
        <v>44</v>
      </c>
    </row>
    <row r="39" spans="1:3" x14ac:dyDescent="0.25">
      <c r="A39" s="6" t="s">
        <v>180</v>
      </c>
      <c r="B39" s="27">
        <v>477345</v>
      </c>
      <c r="C39" s="27">
        <v>253</v>
      </c>
    </row>
    <row r="40" spans="1:3" x14ac:dyDescent="0.25">
      <c r="A40" s="6" t="s">
        <v>181</v>
      </c>
      <c r="B40" s="27">
        <v>10835267</v>
      </c>
      <c r="C40" s="27">
        <v>826</v>
      </c>
    </row>
    <row r="41" spans="1:3" x14ac:dyDescent="0.25">
      <c r="A41" s="6" t="s">
        <v>182</v>
      </c>
      <c r="B41" s="27">
        <v>1185383</v>
      </c>
      <c r="C41" s="27">
        <v>3698</v>
      </c>
    </row>
    <row r="42" spans="1:3" x14ac:dyDescent="0.25">
      <c r="A42" s="6" t="s">
        <v>183</v>
      </c>
      <c r="B42" s="27">
        <v>420950</v>
      </c>
      <c r="C42" s="27">
        <v>72</v>
      </c>
    </row>
    <row r="43" spans="1:3" x14ac:dyDescent="0.25">
      <c r="A43" s="6" t="s">
        <v>189</v>
      </c>
      <c r="B43" s="27">
        <v>484059</v>
      </c>
      <c r="C43" s="27">
        <v>258</v>
      </c>
    </row>
    <row r="44" spans="1:3" x14ac:dyDescent="0.25">
      <c r="A44" s="6" t="s">
        <v>188</v>
      </c>
      <c r="B44" s="27">
        <v>38648</v>
      </c>
      <c r="C44" s="27">
        <v>431</v>
      </c>
    </row>
    <row r="45" spans="1:3" x14ac:dyDescent="0.25">
      <c r="A45" s="6" t="s">
        <v>187</v>
      </c>
      <c r="B45" s="27">
        <v>2008234</v>
      </c>
      <c r="C45" s="27">
        <v>1145</v>
      </c>
    </row>
    <row r="46" spans="1:3" x14ac:dyDescent="0.25">
      <c r="A46" s="6" t="s">
        <v>186</v>
      </c>
      <c r="B46" s="27">
        <v>1514063</v>
      </c>
      <c r="C46" s="27">
        <v>351</v>
      </c>
    </row>
    <row r="47" spans="1:3" x14ac:dyDescent="0.25">
      <c r="A47" s="6" t="s">
        <v>184</v>
      </c>
      <c r="B47" s="27">
        <v>2061201</v>
      </c>
      <c r="C47" s="27">
        <v>1578</v>
      </c>
    </row>
    <row r="48" spans="1:3" x14ac:dyDescent="0.25">
      <c r="A48" s="6" t="s">
        <v>185</v>
      </c>
      <c r="B48" s="27">
        <v>756621</v>
      </c>
      <c r="C48" s="27">
        <v>529</v>
      </c>
    </row>
    <row r="49" spans="1:3" x14ac:dyDescent="0.25">
      <c r="A49" s="6" t="s">
        <v>169</v>
      </c>
      <c r="B49" s="27">
        <v>592901</v>
      </c>
      <c r="C49" s="27">
        <v>230</v>
      </c>
    </row>
    <row r="50" spans="1:3" x14ac:dyDescent="0.25">
      <c r="A50" s="6" t="s">
        <v>193</v>
      </c>
      <c r="B50" s="27">
        <v>5529454</v>
      </c>
      <c r="C50" s="27">
        <v>142</v>
      </c>
    </row>
    <row r="51" spans="1:3" x14ac:dyDescent="0.25">
      <c r="A51" s="6" t="s">
        <v>192</v>
      </c>
      <c r="B51" s="27">
        <v>1906217</v>
      </c>
      <c r="C51" s="27">
        <v>38</v>
      </c>
    </row>
    <row r="52" spans="1:3" x14ac:dyDescent="0.25">
      <c r="A52" s="6" t="s">
        <v>191</v>
      </c>
      <c r="B52" s="27">
        <v>2899568</v>
      </c>
      <c r="C52" s="27">
        <v>51</v>
      </c>
    </row>
    <row r="53" spans="1:3" x14ac:dyDescent="0.25">
      <c r="A53" s="6" t="s">
        <v>148</v>
      </c>
      <c r="B53" s="27">
        <v>119698450</v>
      </c>
      <c r="C53" s="27">
        <v>26119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8B6D-75D8-4607-B321-18050CE4EE43}">
  <dimension ref="A3:C53"/>
  <sheetViews>
    <sheetView zoomScale="95" workbookViewId="0">
      <selection activeCell="C7" sqref="C7"/>
    </sheetView>
  </sheetViews>
  <sheetFormatPr defaultRowHeight="15" x14ac:dyDescent="0.25"/>
  <cols>
    <col min="1" max="1" width="32.42578125" bestFit="1" customWidth="1"/>
    <col min="2" max="2" width="13.140625" bestFit="1" customWidth="1"/>
    <col min="3" max="3" width="31.85546875" bestFit="1" customWidth="1"/>
    <col min="4" max="4" width="11.28515625" bestFit="1" customWidth="1"/>
    <col min="5" max="5" width="10.140625" bestFit="1" customWidth="1"/>
    <col min="6" max="6" width="11.140625" bestFit="1" customWidth="1"/>
    <col min="7" max="7" width="9.7109375" bestFit="1" customWidth="1"/>
    <col min="8" max="8" width="11.28515625" bestFit="1" customWidth="1"/>
    <col min="9" max="9" width="11.140625" bestFit="1" customWidth="1"/>
    <col min="10" max="11" width="10.7109375" bestFit="1" customWidth="1"/>
    <col min="12" max="12" width="12.28515625" bestFit="1" customWidth="1"/>
    <col min="13" max="13" width="11.28515625" bestFit="1" customWidth="1"/>
    <col min="14" max="14" width="10.140625" bestFit="1" customWidth="1"/>
    <col min="15" max="15" width="9.7109375" bestFit="1" customWidth="1"/>
    <col min="16" max="16" width="10.7109375" bestFit="1" customWidth="1"/>
    <col min="17" max="17" width="9.7109375" bestFit="1" customWidth="1"/>
    <col min="18" max="18" width="10.140625" bestFit="1" customWidth="1"/>
    <col min="19" max="19" width="11.140625" bestFit="1" customWidth="1"/>
    <col min="20" max="20" width="9.7109375" bestFit="1" customWidth="1"/>
    <col min="21" max="21" width="11.140625" bestFit="1" customWidth="1"/>
    <col min="22" max="22" width="9.7109375" bestFit="1" customWidth="1"/>
    <col min="23" max="23" width="10.28515625" bestFit="1" customWidth="1"/>
    <col min="24" max="24" width="9.7109375" bestFit="1" customWidth="1"/>
    <col min="25" max="25" width="10.7109375" bestFit="1" customWidth="1"/>
    <col min="26" max="26" width="9.7109375" bestFit="1" customWidth="1"/>
    <col min="27" max="27" width="12.28515625" bestFit="1" customWidth="1"/>
    <col min="28" max="28" width="9.7109375" bestFit="1" customWidth="1"/>
    <col min="29" max="29" width="10.7109375" bestFit="1" customWidth="1"/>
    <col min="30" max="30" width="8.7109375" bestFit="1" customWidth="1"/>
    <col min="31" max="31" width="10.28515625" bestFit="1" customWidth="1"/>
    <col min="32" max="32" width="9.7109375" bestFit="1" customWidth="1"/>
    <col min="33" max="33" width="10.140625" bestFit="1" customWidth="1"/>
    <col min="34" max="34" width="8.7109375" bestFit="1" customWidth="1"/>
    <col min="35" max="36" width="9.7109375" bestFit="1" customWidth="1"/>
    <col min="37" max="37" width="10.140625" bestFit="1" customWidth="1"/>
    <col min="38" max="38" width="9.7109375" bestFit="1" customWidth="1"/>
    <col min="39" max="39" width="7.7109375" bestFit="1" customWidth="1"/>
    <col min="40" max="40" width="11.5703125" bestFit="1" customWidth="1"/>
    <col min="41" max="98" width="33.7109375" bestFit="1" customWidth="1"/>
    <col min="99" max="99" width="37" bestFit="1" customWidth="1"/>
    <col min="100" max="100" width="18.28515625" bestFit="1" customWidth="1"/>
  </cols>
  <sheetData>
    <row r="3" spans="1:3" x14ac:dyDescent="0.25">
      <c r="A3" s="16" t="s">
        <v>147</v>
      </c>
      <c r="B3" t="s">
        <v>161</v>
      </c>
      <c r="C3" t="s">
        <v>240</v>
      </c>
    </row>
    <row r="4" spans="1:3" x14ac:dyDescent="0.25">
      <c r="A4" s="6" t="s">
        <v>164</v>
      </c>
      <c r="B4" s="27">
        <v>558</v>
      </c>
      <c r="C4" s="27">
        <v>1</v>
      </c>
    </row>
    <row r="5" spans="1:3" x14ac:dyDescent="0.25">
      <c r="A5" s="6" t="s">
        <v>30</v>
      </c>
      <c r="B5" s="27">
        <v>307</v>
      </c>
      <c r="C5" s="27">
        <v>1</v>
      </c>
    </row>
    <row r="6" spans="1:3" x14ac:dyDescent="0.25">
      <c r="A6" s="6" t="s">
        <v>182</v>
      </c>
      <c r="B6" s="27">
        <v>3698</v>
      </c>
      <c r="C6" s="27">
        <v>1</v>
      </c>
    </row>
    <row r="7" spans="1:3" x14ac:dyDescent="0.25">
      <c r="A7" s="6" t="s">
        <v>33</v>
      </c>
      <c r="B7" s="27">
        <v>2358</v>
      </c>
      <c r="C7" s="27">
        <v>1</v>
      </c>
    </row>
    <row r="8" spans="1:3" x14ac:dyDescent="0.25">
      <c r="A8" s="6" t="s">
        <v>14</v>
      </c>
      <c r="B8" s="27">
        <v>685</v>
      </c>
      <c r="C8" s="27">
        <v>1</v>
      </c>
    </row>
    <row r="9" spans="1:3" x14ac:dyDescent="0.25">
      <c r="A9" s="6" t="s">
        <v>169</v>
      </c>
      <c r="B9" s="27">
        <v>230</v>
      </c>
      <c r="C9" s="27">
        <v>1</v>
      </c>
    </row>
    <row r="10" spans="1:3" x14ac:dyDescent="0.25">
      <c r="A10" s="6" t="s">
        <v>116</v>
      </c>
      <c r="B10" s="27">
        <v>413</v>
      </c>
      <c r="C10" s="27">
        <v>1</v>
      </c>
    </row>
    <row r="11" spans="1:3" x14ac:dyDescent="0.25">
      <c r="A11" s="6" t="s">
        <v>171</v>
      </c>
      <c r="B11" s="27">
        <v>308</v>
      </c>
      <c r="C11" s="27">
        <v>1</v>
      </c>
    </row>
    <row r="12" spans="1:3" x14ac:dyDescent="0.25">
      <c r="A12" s="6" t="s">
        <v>170</v>
      </c>
      <c r="B12" s="27">
        <v>37</v>
      </c>
      <c r="C12" s="27">
        <v>1</v>
      </c>
    </row>
    <row r="13" spans="1:3" x14ac:dyDescent="0.25">
      <c r="A13" s="6" t="s">
        <v>179</v>
      </c>
      <c r="B13" s="27">
        <v>44</v>
      </c>
      <c r="C13" s="27">
        <v>1</v>
      </c>
    </row>
    <row r="14" spans="1:3" x14ac:dyDescent="0.25">
      <c r="A14" s="6" t="s">
        <v>63</v>
      </c>
      <c r="B14" s="27">
        <v>75</v>
      </c>
      <c r="C14" s="27">
        <v>1</v>
      </c>
    </row>
    <row r="15" spans="1:3" x14ac:dyDescent="0.25">
      <c r="A15" s="6" t="s">
        <v>193</v>
      </c>
      <c r="B15" s="27">
        <v>142</v>
      </c>
      <c r="C15" s="27">
        <v>1</v>
      </c>
    </row>
    <row r="16" spans="1:3" x14ac:dyDescent="0.25">
      <c r="A16" s="6" t="s">
        <v>190</v>
      </c>
      <c r="B16" s="27">
        <v>910</v>
      </c>
      <c r="C16" s="27">
        <v>1</v>
      </c>
    </row>
    <row r="17" spans="1:3" x14ac:dyDescent="0.25">
      <c r="A17" s="6" t="s">
        <v>187</v>
      </c>
      <c r="B17" s="27">
        <v>1145</v>
      </c>
      <c r="C17" s="27">
        <v>1</v>
      </c>
    </row>
    <row r="18" spans="1:3" x14ac:dyDescent="0.25">
      <c r="A18" s="6" t="s">
        <v>127</v>
      </c>
      <c r="B18" s="27">
        <v>774</v>
      </c>
      <c r="C18" s="27">
        <v>1</v>
      </c>
    </row>
    <row r="19" spans="1:3" x14ac:dyDescent="0.25">
      <c r="A19" s="6" t="s">
        <v>173</v>
      </c>
      <c r="B19" s="27">
        <v>144</v>
      </c>
      <c r="C19" s="27">
        <v>1</v>
      </c>
    </row>
    <row r="20" spans="1:3" x14ac:dyDescent="0.25">
      <c r="A20" s="6" t="s">
        <v>10</v>
      </c>
      <c r="B20" s="27">
        <v>452</v>
      </c>
      <c r="C20" s="27">
        <v>1</v>
      </c>
    </row>
    <row r="21" spans="1:3" x14ac:dyDescent="0.25">
      <c r="A21" s="6" t="s">
        <v>172</v>
      </c>
      <c r="B21" s="27">
        <v>101</v>
      </c>
      <c r="C21" s="27">
        <v>1</v>
      </c>
    </row>
    <row r="22" spans="1:3" x14ac:dyDescent="0.25">
      <c r="A22" s="6" t="s">
        <v>1</v>
      </c>
      <c r="B22" s="27">
        <v>29</v>
      </c>
      <c r="C22" s="27">
        <v>1</v>
      </c>
    </row>
    <row r="23" spans="1:3" x14ac:dyDescent="0.25">
      <c r="A23" s="6" t="s">
        <v>188</v>
      </c>
      <c r="B23" s="27">
        <v>431</v>
      </c>
      <c r="C23" s="27">
        <v>1</v>
      </c>
    </row>
    <row r="24" spans="1:3" x14ac:dyDescent="0.25">
      <c r="A24" s="6" t="s">
        <v>177</v>
      </c>
      <c r="B24" s="27">
        <v>153</v>
      </c>
      <c r="C24" s="27">
        <v>1</v>
      </c>
    </row>
    <row r="25" spans="1:3" x14ac:dyDescent="0.25">
      <c r="A25" s="6" t="s">
        <v>186</v>
      </c>
      <c r="B25" s="27">
        <v>351</v>
      </c>
      <c r="C25" s="27">
        <v>1</v>
      </c>
    </row>
    <row r="26" spans="1:3" x14ac:dyDescent="0.25">
      <c r="A26" s="6" t="s">
        <v>168</v>
      </c>
      <c r="B26" s="27">
        <v>8</v>
      </c>
      <c r="C26" s="27">
        <v>1</v>
      </c>
    </row>
    <row r="27" spans="1:3" x14ac:dyDescent="0.25">
      <c r="A27" s="6" t="s">
        <v>191</v>
      </c>
      <c r="B27" s="27">
        <v>51</v>
      </c>
      <c r="C27" s="27">
        <v>1</v>
      </c>
    </row>
    <row r="28" spans="1:3" x14ac:dyDescent="0.25">
      <c r="A28" s="6" t="s">
        <v>174</v>
      </c>
      <c r="B28" s="27">
        <v>84</v>
      </c>
      <c r="C28" s="27">
        <v>1</v>
      </c>
    </row>
    <row r="29" spans="1:3" x14ac:dyDescent="0.25">
      <c r="A29" s="6" t="s">
        <v>166</v>
      </c>
      <c r="B29" s="27">
        <v>399</v>
      </c>
      <c r="C29" s="27">
        <v>1</v>
      </c>
    </row>
    <row r="30" spans="1:3" x14ac:dyDescent="0.25">
      <c r="A30" s="6" t="s">
        <v>180</v>
      </c>
      <c r="B30" s="27">
        <v>253</v>
      </c>
      <c r="C30" s="27">
        <v>1</v>
      </c>
    </row>
    <row r="31" spans="1:3" x14ac:dyDescent="0.25">
      <c r="A31" s="6" t="s">
        <v>51</v>
      </c>
      <c r="B31" s="27">
        <v>427</v>
      </c>
      <c r="C31" s="27">
        <v>1</v>
      </c>
    </row>
    <row r="32" spans="1:3" x14ac:dyDescent="0.25">
      <c r="A32" s="6" t="s">
        <v>113</v>
      </c>
      <c r="B32" s="27">
        <v>67</v>
      </c>
      <c r="C32" s="27">
        <v>1</v>
      </c>
    </row>
    <row r="33" spans="1:3" x14ac:dyDescent="0.25">
      <c r="A33" s="6" t="s">
        <v>110</v>
      </c>
      <c r="B33" s="27">
        <v>586</v>
      </c>
      <c r="C33" s="27">
        <v>1</v>
      </c>
    </row>
    <row r="34" spans="1:3" x14ac:dyDescent="0.25">
      <c r="A34" s="6" t="s">
        <v>76</v>
      </c>
      <c r="B34" s="27">
        <v>71</v>
      </c>
      <c r="C34" s="27">
        <v>1</v>
      </c>
    </row>
    <row r="35" spans="1:3" x14ac:dyDescent="0.25">
      <c r="A35" s="6" t="s">
        <v>178</v>
      </c>
      <c r="B35" s="27">
        <v>1498</v>
      </c>
      <c r="C35" s="27">
        <v>1</v>
      </c>
    </row>
    <row r="36" spans="1:3" x14ac:dyDescent="0.25">
      <c r="A36" s="6" t="s">
        <v>176</v>
      </c>
      <c r="B36" s="27">
        <v>25</v>
      </c>
      <c r="C36" s="27">
        <v>1</v>
      </c>
    </row>
    <row r="37" spans="1:3" x14ac:dyDescent="0.25">
      <c r="A37" s="6" t="s">
        <v>181</v>
      </c>
      <c r="B37" s="27">
        <v>826</v>
      </c>
      <c r="C37" s="27">
        <v>1</v>
      </c>
    </row>
    <row r="38" spans="1:3" x14ac:dyDescent="0.25">
      <c r="A38" s="6" t="s">
        <v>115</v>
      </c>
      <c r="B38" s="27">
        <v>449</v>
      </c>
      <c r="C38" s="27">
        <v>1</v>
      </c>
    </row>
    <row r="39" spans="1:3" x14ac:dyDescent="0.25">
      <c r="A39" s="6" t="s">
        <v>41</v>
      </c>
      <c r="B39" s="27">
        <v>55</v>
      </c>
      <c r="C39" s="27">
        <v>1</v>
      </c>
    </row>
    <row r="40" spans="1:3" x14ac:dyDescent="0.25">
      <c r="A40" s="6" t="s">
        <v>114</v>
      </c>
      <c r="B40" s="27">
        <v>950</v>
      </c>
      <c r="C40" s="27">
        <v>1</v>
      </c>
    </row>
    <row r="41" spans="1:3" x14ac:dyDescent="0.25">
      <c r="A41" s="6" t="s">
        <v>189</v>
      </c>
      <c r="B41" s="27">
        <v>258</v>
      </c>
      <c r="C41" s="27">
        <v>1</v>
      </c>
    </row>
    <row r="42" spans="1:3" x14ac:dyDescent="0.25">
      <c r="A42" s="6" t="s">
        <v>57</v>
      </c>
      <c r="B42" s="27">
        <v>1070</v>
      </c>
      <c r="C42" s="27">
        <v>1</v>
      </c>
    </row>
    <row r="43" spans="1:3" x14ac:dyDescent="0.25">
      <c r="A43" s="6" t="s">
        <v>184</v>
      </c>
      <c r="B43" s="27">
        <v>1578</v>
      </c>
      <c r="C43" s="27">
        <v>1</v>
      </c>
    </row>
    <row r="44" spans="1:3" x14ac:dyDescent="0.25">
      <c r="A44" s="6" t="s">
        <v>167</v>
      </c>
      <c r="B44" s="27">
        <v>58</v>
      </c>
      <c r="C44" s="27">
        <v>1</v>
      </c>
    </row>
    <row r="45" spans="1:3" x14ac:dyDescent="0.25">
      <c r="A45" s="6" t="s">
        <v>183</v>
      </c>
      <c r="B45" s="27">
        <v>72</v>
      </c>
      <c r="C45" s="27">
        <v>1</v>
      </c>
    </row>
    <row r="46" spans="1:3" x14ac:dyDescent="0.25">
      <c r="A46" s="6" t="s">
        <v>175</v>
      </c>
      <c r="B46" s="27">
        <v>169</v>
      </c>
      <c r="C46" s="27">
        <v>1</v>
      </c>
    </row>
    <row r="47" spans="1:3" x14ac:dyDescent="0.25">
      <c r="A47" s="6" t="s">
        <v>12</v>
      </c>
      <c r="B47" s="27">
        <v>2</v>
      </c>
      <c r="C47" s="27">
        <v>1</v>
      </c>
    </row>
    <row r="48" spans="1:3" x14ac:dyDescent="0.25">
      <c r="A48" s="6" t="s">
        <v>185</v>
      </c>
      <c r="B48" s="27">
        <v>529</v>
      </c>
      <c r="C48" s="27">
        <v>1</v>
      </c>
    </row>
    <row r="49" spans="1:3" x14ac:dyDescent="0.25">
      <c r="A49" s="6" t="s">
        <v>111</v>
      </c>
      <c r="B49" s="27">
        <v>1660</v>
      </c>
      <c r="C49" s="27">
        <v>1</v>
      </c>
    </row>
    <row r="50" spans="1:3" x14ac:dyDescent="0.25">
      <c r="A50" s="6" t="s">
        <v>112</v>
      </c>
      <c r="B50" s="27">
        <v>909</v>
      </c>
      <c r="C50" s="27">
        <v>1</v>
      </c>
    </row>
    <row r="51" spans="1:3" x14ac:dyDescent="0.25">
      <c r="A51" s="6" t="s">
        <v>192</v>
      </c>
      <c r="B51" s="27">
        <v>38</v>
      </c>
      <c r="C51" s="27">
        <v>1</v>
      </c>
    </row>
    <row r="52" spans="1:3" x14ac:dyDescent="0.25">
      <c r="A52" s="6" t="s">
        <v>165</v>
      </c>
      <c r="B52" s="27">
        <v>682</v>
      </c>
      <c r="C52" s="27">
        <v>1</v>
      </c>
    </row>
    <row r="53" spans="1:3" x14ac:dyDescent="0.25">
      <c r="A53" s="6" t="s">
        <v>148</v>
      </c>
      <c r="B53" s="27">
        <v>26119</v>
      </c>
      <c r="C53" s="27">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1A41-23AF-41AE-AC49-B11362121B15}">
  <dimension ref="A3:C7"/>
  <sheetViews>
    <sheetView workbookViewId="0">
      <selection activeCell="A3" sqref="A3"/>
    </sheetView>
  </sheetViews>
  <sheetFormatPr defaultRowHeight="15" x14ac:dyDescent="0.25"/>
  <cols>
    <col min="1" max="1" width="13.140625" bestFit="1" customWidth="1"/>
    <col min="2" max="2" width="23.7109375" bestFit="1" customWidth="1"/>
    <col min="3" max="4" width="20.7109375" bestFit="1" customWidth="1"/>
  </cols>
  <sheetData>
    <row r="3" spans="1:3" x14ac:dyDescent="0.25">
      <c r="A3" s="16" t="s">
        <v>147</v>
      </c>
      <c r="B3" t="s">
        <v>239</v>
      </c>
      <c r="C3" t="s">
        <v>241</v>
      </c>
    </row>
    <row r="4" spans="1:3" x14ac:dyDescent="0.25">
      <c r="A4" s="6" t="s">
        <v>157</v>
      </c>
      <c r="B4" s="27">
        <v>74</v>
      </c>
      <c r="C4" s="27">
        <v>23</v>
      </c>
    </row>
    <row r="5" spans="1:3" x14ac:dyDescent="0.25">
      <c r="A5" s="6" t="s">
        <v>159</v>
      </c>
      <c r="B5" s="27">
        <v>4</v>
      </c>
      <c r="C5" s="27">
        <v>6</v>
      </c>
    </row>
    <row r="6" spans="1:3" x14ac:dyDescent="0.25">
      <c r="A6" s="6" t="s">
        <v>158</v>
      </c>
      <c r="B6" s="27">
        <v>43</v>
      </c>
      <c r="C6" s="27">
        <v>20</v>
      </c>
    </row>
    <row r="7" spans="1:3" x14ac:dyDescent="0.25">
      <c r="A7" s="6" t="s">
        <v>148</v>
      </c>
      <c r="B7" s="27">
        <v>121</v>
      </c>
      <c r="C7" s="27">
        <v>49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DataSet</vt:lpstr>
      <vt:lpstr>1st Graph</vt:lpstr>
      <vt:lpstr>2nd Graph</vt:lpstr>
      <vt:lpstr>3rd Graph</vt:lpstr>
      <vt:lpstr>4th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hafsah shaik</cp:lastModifiedBy>
  <dcterms:created xsi:type="dcterms:W3CDTF">2023-09-03T13:48:33Z</dcterms:created>
  <dcterms:modified xsi:type="dcterms:W3CDTF">2025-10-03T15:40:50Z</dcterms:modified>
</cp:coreProperties>
</file>